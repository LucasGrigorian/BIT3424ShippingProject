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igo\Desktop\College Classes\Junior Fall\BIT 3424\Group50 Project\"/>
    </mc:Choice>
  </mc:AlternateContent>
  <xr:revisionPtr revIDLastSave="0" documentId="13_ncr:1_{D6B536DB-0EA3-483C-AC2D-7022348B8260}" xr6:coauthVersionLast="45" xr6:coauthVersionMax="45" xr10:uidLastSave="{00000000-0000-0000-0000-000000000000}"/>
  <bookViews>
    <workbookView xWindow="-120" yWindow="-120" windowWidth="29040" windowHeight="15840" xr2:uid="{DFB7BA9E-C24D-4417-8774-01957C6A30B3}"/>
  </bookViews>
  <sheets>
    <sheet name="Welcome" sheetId="2" r:id="rId1"/>
    <sheet name="Hidden" sheetId="3" r:id="rId2"/>
    <sheet name="Formula Page" sheetId="1" r:id="rId3"/>
    <sheet name="Worker Info" sheetId="4" r:id="rId4"/>
    <sheet name="Delivery Analysis" sheetId="5" r:id="rId5"/>
  </sheets>
  <definedNames>
    <definedName name="AntiLoopRHS">'Formula Page'!$U$20:$U$26</definedName>
    <definedName name="AntiLoopSum">'Formula Page'!$T$20:$T$26</definedName>
    <definedName name="DITableStart">Table1[[#Headers],[Delivery '#]]</definedName>
    <definedName name="FDCompany">'Formula Page'!$J$10:$J$33</definedName>
    <definedName name="FDCost">'Formula Page'!$P$10:$P$33</definedName>
    <definedName name="FDDName">'Formula Page'!$M$10:$M$33</definedName>
    <definedName name="FDDRoute">'Formula Page'!$N$10:$N$33</definedName>
    <definedName name="FDMileage">'Formula Page'!$O$10:$O$33</definedName>
    <definedName name="FDOName">'Formula Page'!$K$10:$K$33</definedName>
    <definedName name="FDORoute">'Formula Page'!$L$10:$L$33</definedName>
    <definedName name="FDStart">'Formula Page'!$I$9</definedName>
    <definedName name="FDTrucks">'Formula Page'!$Q$10:$Q$33</definedName>
    <definedName name="GasIndex">'Formula Page'!$E$2</definedName>
    <definedName name="InternalRouting">'Formula Page'!$A$9:$G$39</definedName>
    <definedName name="IRCost">'Formula Page'!$F$10:$F$39</definedName>
    <definedName name="IRDestinationRoute">'Formula Page'!$D$10:$D$39</definedName>
    <definedName name="IROriginRoute">'Formula Page'!$B$10:$B$39</definedName>
    <definedName name="IRTrucks">'Formula Page'!$G$10:$G$39</definedName>
    <definedName name="LogInInfo">Hidden!$A$1:$D$7</definedName>
    <definedName name="NetFlow">'Formula Page'!$T$10:$T$16</definedName>
    <definedName name="OBJECTIVE">'Formula Page'!$U$31</definedName>
    <definedName name="solver_adj" localSheetId="2" hidden="1">'Formula Page'!$G$10:$G$39,'Formula Page'!$Q$10:$Q$33</definedName>
    <definedName name="solver_adj" localSheetId="3" hidden="1">'Worker Info'!$G$10:$G$39,'Worker Info'!$Q$10:$Q$33</definedName>
    <definedName name="solver_adj_ob" localSheetId="2" hidden="1">1</definedName>
    <definedName name="solver_adj_ob1" localSheetId="2" hidden="1">1</definedName>
    <definedName name="solver_adj1" localSheetId="2" hidden="1">'Formula Page'!$Q$10:$Q$33</definedName>
    <definedName name="solver_cha" localSheetId="2" hidden="1">0</definedName>
    <definedName name="solver_chc1" localSheetId="2" hidden="1">0</definedName>
    <definedName name="solver_chc2" localSheetId="2" hidden="1">0</definedName>
    <definedName name="solver_chc3" localSheetId="2" hidden="1">0</definedName>
    <definedName name="solver_chc4" localSheetId="2" hidden="1">0</definedName>
    <definedName name="solver_chc5" localSheetId="2" hidden="1">0</definedName>
    <definedName name="solver_chc6" localSheetId="2" hidden="1">0</definedName>
    <definedName name="solver_chn" localSheetId="2" hidden="1">4</definedName>
    <definedName name="solver_chp1" localSheetId="2" hidden="1">0</definedName>
    <definedName name="solver_chp2" localSheetId="2" hidden="1">0</definedName>
    <definedName name="solver_chp3" localSheetId="2" hidden="1">0</definedName>
    <definedName name="solver_chp4" localSheetId="2" hidden="1">0</definedName>
    <definedName name="solver_chp5" localSheetId="2" hidden="1">0</definedName>
    <definedName name="solver_chp6" localSheetId="2" hidden="1">0</definedName>
    <definedName name="solver_cht" localSheetId="2" hidden="1">0</definedName>
    <definedName name="solver_cir1" localSheetId="2" hidden="1">1</definedName>
    <definedName name="solver_cir2" localSheetId="2" hidden="1">1</definedName>
    <definedName name="solver_cir3" localSheetId="2" hidden="1">1</definedName>
    <definedName name="solver_cir4" localSheetId="2" hidden="1">1</definedName>
    <definedName name="solver_cir5" localSheetId="2" hidden="1">1</definedName>
    <definedName name="solver_cir6" localSheetId="2" hidden="1">1</definedName>
    <definedName name="solver_con" localSheetId="2" hidden="1">" "</definedName>
    <definedName name="solver_con1" localSheetId="2" hidden="1">" "</definedName>
    <definedName name="solver_con2" localSheetId="2" hidden="1">" "</definedName>
    <definedName name="solver_con3" localSheetId="2" hidden="1">" "</definedName>
    <definedName name="solver_con4" localSheetId="2" hidden="1">" "</definedName>
    <definedName name="solver_con5" localSheetId="2" hidden="1">" "</definedName>
    <definedName name="solver_con6" localSheetId="2" hidden="1">" "</definedName>
    <definedName name="solver_cvg" localSheetId="2" hidden="1">0.0001</definedName>
    <definedName name="solver_dia" localSheetId="2" hidden="1">5</definedName>
    <definedName name="solver_drv" localSheetId="2" hidden="1">2</definedName>
    <definedName name="solver_eng" localSheetId="2" hidden="1">2</definedName>
    <definedName name="solver_eng" localSheetId="3" hidden="1">2</definedName>
    <definedName name="solver_est" localSheetId="2" hidden="1">1</definedName>
    <definedName name="solver_iao" localSheetId="2" hidden="1">0</definedName>
    <definedName name="solver_int" localSheetId="2" hidden="1">0</definedName>
    <definedName name="solver_irs" localSheetId="2" hidden="1">0</definedName>
    <definedName name="solver_ism" localSheetId="2" hidden="1">0</definedName>
    <definedName name="solver_itr" localSheetId="2" hidden="1">2147483647</definedName>
    <definedName name="solver_lhs_ob1" localSheetId="2" hidden="1">0</definedName>
    <definedName name="solver_lhs_ob2" localSheetId="2" hidden="1">0</definedName>
    <definedName name="solver_lhs_ob3" localSheetId="2" hidden="1">0</definedName>
    <definedName name="solver_lhs_ob4" localSheetId="2" hidden="1">0</definedName>
    <definedName name="solver_lhs_ob5" localSheetId="2" hidden="1">0</definedName>
    <definedName name="solver_lhs_ob6" localSheetId="2" hidden="1">0</definedName>
    <definedName name="solver_lhs1" localSheetId="2" hidden="1">'Formula Page'!$T$20:$T$26</definedName>
    <definedName name="solver_lhs1" localSheetId="3" hidden="1">'Worker Info'!$T$20:$T$26</definedName>
    <definedName name="solver_lhs2" localSheetId="2" hidden="1">'Formula Page'!$T$10:$T$16</definedName>
    <definedName name="solver_lhs2" localSheetId="3" hidden="1">'Worker Info'!$T$10:$T$16</definedName>
    <definedName name="solver_lhs3" localSheetId="2" hidden="1">'Formula Page'!$T$20:$T$26</definedName>
    <definedName name="solver_lhs4" localSheetId="2" hidden="1">'Formula Page'!$Q$10:$Q$33</definedName>
    <definedName name="solver_lhs5" localSheetId="2" hidden="1">'Formula Page'!$G$10:$G$39</definedName>
    <definedName name="solver_lhs6" localSheetId="2" hidden="1">'Formula Page'!$G$10:$G$39</definedName>
    <definedName name="solver_mda" localSheetId="2" hidden="1">4</definedName>
    <definedName name="solver_mip" localSheetId="2" hidden="1">2147483647</definedName>
    <definedName name="solver_mni" localSheetId="2" hidden="1">30</definedName>
    <definedName name="solver_mod" localSheetId="2" hidden="1">3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eg" localSheetId="3" hidden="1">1</definedName>
    <definedName name="solver_nod" localSheetId="2" hidden="1">2147483647</definedName>
    <definedName name="solver_ntr" localSheetId="2" hidden="1">0</definedName>
    <definedName name="solver_ntri" hidden="1">1000</definedName>
    <definedName name="solver_num" localSheetId="2" hidden="1">2</definedName>
    <definedName name="solver_num" localSheetId="3" hidden="1">2</definedName>
    <definedName name="solver_nwt" localSheetId="2" hidden="1">1</definedName>
    <definedName name="solver_obc" localSheetId="2" hidden="1">0</definedName>
    <definedName name="solver_obp" localSheetId="2" hidden="1">0</definedName>
    <definedName name="solver_opt" localSheetId="2" hidden="1">'Formula Page'!$U$31</definedName>
    <definedName name="solver_opt" localSheetId="3" hidden="1">'Worker Info'!$U$31</definedName>
    <definedName name="solver_opt_ob" localSheetId="2" hidden="1">1</definedName>
    <definedName name="solver_pre" localSheetId="2" hidden="1">0.000001</definedName>
    <definedName name="solver_psi" localSheetId="2" hidden="1">0</definedName>
    <definedName name="solver_rbv" localSheetId="2" hidden="1">2</definedName>
    <definedName name="solver_rdp" localSheetId="2" hidden="1">0</definedName>
    <definedName name="solver_reco1" localSheetId="2" hidden="1">0</definedName>
    <definedName name="solver_reco2" localSheetId="2" hidden="1">0</definedName>
    <definedName name="solver_reco3" localSheetId="2" hidden="1">0</definedName>
    <definedName name="solver_reco4" localSheetId="2" hidden="1">0</definedName>
    <definedName name="solver_reco5" localSheetId="2" hidden="1">0</definedName>
    <definedName name="solver_reco6" localSheetId="2" hidden="1">0</definedName>
    <definedName name="solver_rel1" localSheetId="2" hidden="1">1</definedName>
    <definedName name="solver_rel1" localSheetId="3" hidden="1">1</definedName>
    <definedName name="solver_rel2" localSheetId="2" hidden="1">2</definedName>
    <definedName name="solver_rel2" localSheetId="3" hidden="1">2</definedName>
    <definedName name="solver_rel3" localSheetId="2" hidden="1">1</definedName>
    <definedName name="solver_rel4" localSheetId="2" hidden="1">4</definedName>
    <definedName name="solver_rel5" localSheetId="2" hidden="1">4</definedName>
    <definedName name="solver_rel6" localSheetId="2" hidden="1">3</definedName>
    <definedName name="solver_rhs1" localSheetId="2" hidden="1">AntiLoopRHS</definedName>
    <definedName name="solver_rhs1" localSheetId="3" hidden="1">AntiLoopRHS</definedName>
    <definedName name="solver_rhs2" localSheetId="2" hidden="1">SupplyDemand</definedName>
    <definedName name="solver_rhs2" localSheetId="3" hidden="1">SupplyDemand</definedName>
    <definedName name="solver_rhs3" localSheetId="2" hidden="1">AntiLoopRHS</definedName>
    <definedName name="solver_rhs4" localSheetId="2" hidden="1">integer</definedName>
    <definedName name="solver_rhs5" localSheetId="2" hidden="1">integer</definedName>
    <definedName name="solver_rhs6" localSheetId="2" hidden="1">0</definedName>
    <definedName name="solver_rlx" localSheetId="2" hidden="1">2</definedName>
    <definedName name="solver_rsd" localSheetId="2" hidden="1">0</definedName>
    <definedName name="solver_rsmp" hidden="1">2</definedName>
    <definedName name="solver_rtr" localSheetId="2" hidden="1">0</definedName>
    <definedName name="solver_rxc1" localSheetId="2" hidden="1">1</definedName>
    <definedName name="solver_rxc2" localSheetId="2" hidden="1">1</definedName>
    <definedName name="solver_rxc3" localSheetId="2" hidden="1">1</definedName>
    <definedName name="solver_rxc4" localSheetId="2" hidden="1">1</definedName>
    <definedName name="solver_rxc5" localSheetId="2" hidden="1">1</definedName>
    <definedName name="solver_rxc6" localSheetId="2" hidden="1">1</definedName>
    <definedName name="solver_rxv" localSheetId="2" hidden="1">1</definedName>
    <definedName name="solver_rxv1" localSheetId="2" hidden="1">1</definedName>
    <definedName name="solver_scl" localSheetId="2" hidden="1">2</definedName>
    <definedName name="solver_seed" hidden="1">0</definedName>
    <definedName name="solver_sel" localSheetId="2" hidden="1">1</definedName>
    <definedName name="solver_sho" localSheetId="2" hidden="1">2</definedName>
    <definedName name="solver_slv" localSheetId="2" hidden="1">0</definedName>
    <definedName name="solver_slvu" localSheetId="2" hidden="1">0</definedName>
    <definedName name="solver_spid" localSheetId="2" hidden="1">" "</definedName>
    <definedName name="solver_srvr" localSheetId="2" hidden="1">" "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typ" localSheetId="3" hidden="1">2</definedName>
    <definedName name="solver_umod" localSheetId="2" hidden="1">1</definedName>
    <definedName name="solver_urs" localSheetId="2" hidden="1">0</definedName>
    <definedName name="solver_userid" localSheetId="2" hidden="1">439179</definedName>
    <definedName name="solver_val" localSheetId="2" hidden="1">0</definedName>
    <definedName name="solver_val" localSheetId="3" hidden="1">0</definedName>
    <definedName name="solver_var" localSheetId="2" hidden="1">" "</definedName>
    <definedName name="solver_var1" localSheetId="2" hidden="1">" "</definedName>
    <definedName name="solver_ver" localSheetId="2" hidden="1">3</definedName>
    <definedName name="solver_ver" localSheetId="3" hidden="1">3</definedName>
    <definedName name="solver_vir" localSheetId="2" hidden="1">1</definedName>
    <definedName name="solver_vir1" localSheetId="2" hidden="1">1</definedName>
    <definedName name="solver_vol" localSheetId="2" hidden="1">0</definedName>
    <definedName name="solver_vst" localSheetId="2" hidden="1">0</definedName>
    <definedName name="solver_vst1" localSheetId="2" hidden="1">0</definedName>
    <definedName name="SupplyDemand">'Formula Page'!$U$10:$U$16</definedName>
    <definedName name="WCompany">'Worker Info'!$B$14</definedName>
    <definedName name="WDestination">'Worker Info'!$B$6:$B$11</definedName>
    <definedName name="WFDelivery">'Worker Info'!$D$14:$H$14</definedName>
    <definedName name="WOrigin">'Worker Info'!$C$5:$H$5</definedName>
    <definedName name="WTable">'Worker Info'!$C$6:$H$11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4" i="4" l="1"/>
  <c r="B14" i="4"/>
  <c r="D14" i="4" l="1"/>
  <c r="E14" i="4" s="1"/>
  <c r="H10" i="4"/>
  <c r="H9" i="4"/>
  <c r="H8" i="4"/>
  <c r="H7" i="4"/>
  <c r="H6" i="4"/>
  <c r="G9" i="4"/>
  <c r="G8" i="4"/>
  <c r="G7" i="4"/>
  <c r="G6" i="4"/>
  <c r="F11" i="4"/>
  <c r="F10" i="4"/>
  <c r="F8" i="4"/>
  <c r="F7" i="4"/>
  <c r="F6" i="4"/>
  <c r="E11" i="4"/>
  <c r="E10" i="4"/>
  <c r="E9" i="4"/>
  <c r="E7" i="4"/>
  <c r="E6" i="4"/>
  <c r="D11" i="4"/>
  <c r="D10" i="4"/>
  <c r="D9" i="4"/>
  <c r="D8" i="4"/>
  <c r="D6" i="4"/>
  <c r="C10" i="4"/>
  <c r="C11" i="4"/>
  <c r="C9" i="4"/>
  <c r="C8" i="4"/>
  <c r="C7" i="4"/>
  <c r="T26" i="1" l="1"/>
  <c r="T16" i="1"/>
  <c r="T15" i="1"/>
  <c r="T14" i="1"/>
  <c r="T13" i="1"/>
  <c r="T11" i="1"/>
  <c r="T10" i="1"/>
  <c r="T12" i="1"/>
  <c r="T25" i="1"/>
  <c r="T24" i="1"/>
  <c r="T23" i="1"/>
  <c r="T22" i="1"/>
  <c r="T21" i="1"/>
  <c r="T20" i="1"/>
  <c r="P21" i="1"/>
  <c r="P20" i="1"/>
  <c r="P19" i="1"/>
  <c r="P18" i="1"/>
  <c r="P17" i="1"/>
  <c r="P16" i="1"/>
  <c r="P33" i="1" l="1"/>
  <c r="P32" i="1"/>
  <c r="P31" i="1"/>
  <c r="P30" i="1"/>
  <c r="P29" i="1"/>
  <c r="P28" i="1"/>
  <c r="P27" i="1"/>
  <c r="P26" i="1"/>
  <c r="P22" i="1"/>
  <c r="P23" i="1"/>
  <c r="P24" i="1"/>
  <c r="P25" i="1"/>
  <c r="P10" i="1"/>
  <c r="P11" i="1"/>
  <c r="P12" i="1"/>
  <c r="P13" i="1"/>
  <c r="P14" i="1"/>
  <c r="P15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10" i="1"/>
  <c r="F12" i="4" l="1"/>
  <c r="C12" i="4"/>
  <c r="U29" i="1"/>
  <c r="D12" i="4"/>
  <c r="U30" i="1"/>
  <c r="F14" i="4" s="1"/>
  <c r="E12" i="4"/>
  <c r="H12" i="4"/>
  <c r="U31" i="1" l="1"/>
  <c r="H1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Running Walker</author>
  </authors>
  <commentList>
    <comment ref="F9" authorId="0" shapeId="0" xr:uid="{1006A04F-2421-4B8F-AE66-18DE63BD5459}">
      <text>
        <r>
          <rPr>
            <b/>
            <sz val="9"/>
            <color indexed="81"/>
            <rFont val="Tahoma"/>
            <family val="2"/>
          </rPr>
          <t>Formula for Internal Shipping:
130 + Mileage * .6 * (1+(Index*.07))</t>
        </r>
      </text>
    </comment>
    <comment ref="U9" authorId="0" shapeId="0" xr:uid="{825B2478-79FB-47D1-86A5-C8FE1A2850C2}">
      <text>
        <r>
          <rPr>
            <b/>
            <sz val="9"/>
            <color indexed="81"/>
            <rFont val="Tahoma"/>
            <family val="2"/>
          </rPr>
          <t>A -1 indicates the starting point of the truck; a +1 indicates the ending position of the truck.</t>
        </r>
      </text>
    </comment>
    <comment ref="J10" authorId="0" shapeId="0" xr:uid="{295B03DD-E910-4E34-95C6-C802E53524A9}">
      <text>
        <r>
          <rPr>
            <b/>
            <sz val="9"/>
            <color indexed="81"/>
            <rFont val="Tahoma"/>
            <family val="2"/>
          </rPr>
          <t>Cost Formula:
130 + (Mileage*0.6* (1+(Index*0.07)))</t>
        </r>
      </text>
    </comment>
    <comment ref="J16" authorId="0" shapeId="0" xr:uid="{31816027-5AD4-47B9-8D5A-CC1AD50B5AAF}">
      <text>
        <r>
          <rPr>
            <b/>
            <sz val="9"/>
            <color indexed="81"/>
            <rFont val="Tahoma"/>
            <family val="2"/>
          </rPr>
          <t>Cost Formula:
100+(Mileage*(Index*0.5))</t>
        </r>
      </text>
    </comment>
    <comment ref="J22" authorId="0" shapeId="0" xr:uid="{D5E79132-2258-42CA-815A-815BD382E632}">
      <text>
        <r>
          <rPr>
            <b/>
            <sz val="9"/>
            <color indexed="81"/>
            <rFont val="Tahoma"/>
            <family val="2"/>
          </rPr>
          <t>Cost Formula:
300+Mileage*(Index*0.2)</t>
        </r>
      </text>
    </comment>
    <comment ref="J28" authorId="0" shapeId="0" xr:uid="{04AA19AE-5696-4D8F-947B-20B9A00AECC2}">
      <text>
        <r>
          <rPr>
            <b/>
            <sz val="9"/>
            <color indexed="81"/>
            <rFont val="Tahoma"/>
            <family val="2"/>
          </rPr>
          <t>Cost Formula:
100 + Mileage*1.1</t>
        </r>
      </text>
    </comment>
  </commentList>
</comments>
</file>

<file path=xl/sharedStrings.xml><?xml version="1.0" encoding="utf-8"?>
<sst xmlns="http://schemas.openxmlformats.org/spreadsheetml/2006/main" count="220" uniqueCount="67">
  <si>
    <t>Origin</t>
  </si>
  <si>
    <t>Destination</t>
  </si>
  <si>
    <t>Internal Routing Map</t>
  </si>
  <si>
    <t>Atlanta</t>
  </si>
  <si>
    <t>Mileage</t>
  </si>
  <si>
    <t>Cost</t>
  </si>
  <si>
    <t>Gas Index</t>
  </si>
  <si>
    <t>Baltimore</t>
  </si>
  <si>
    <t>Norfolk</t>
  </si>
  <si>
    <t>New York City</t>
  </si>
  <si>
    <t>Charlotte</t>
  </si>
  <si>
    <t>Chicago</t>
  </si>
  <si>
    <t>Trucks on Route</t>
  </si>
  <si>
    <t>Final Delivery</t>
  </si>
  <si>
    <t>Internal</t>
  </si>
  <si>
    <t>External</t>
  </si>
  <si>
    <t>XPO</t>
  </si>
  <si>
    <t>Holland</t>
  </si>
  <si>
    <t>SAIA</t>
  </si>
  <si>
    <t>Shipping Company</t>
  </si>
  <si>
    <t>Amazon</t>
  </si>
  <si>
    <t>Flow Chart</t>
  </si>
  <si>
    <t>Node</t>
  </si>
  <si>
    <t>Net Flow</t>
  </si>
  <si>
    <t>Supply/Demand</t>
  </si>
  <si>
    <t>Anti-Loop Constraints</t>
  </si>
  <si>
    <t>Sum of Node</t>
  </si>
  <si>
    <t>Must be &lt;=</t>
  </si>
  <si>
    <t>Cost Summary</t>
  </si>
  <si>
    <t>Internal Routing Cost</t>
  </si>
  <si>
    <t>Final Delivery Cost</t>
  </si>
  <si>
    <t>Total Cost</t>
  </si>
  <si>
    <t>Type</t>
  </si>
  <si>
    <t>ORoute#</t>
  </si>
  <si>
    <t>DRoute#</t>
  </si>
  <si>
    <t>username</t>
  </si>
  <si>
    <t>password</t>
  </si>
  <si>
    <t>WM_1</t>
  </si>
  <si>
    <t>WM_2</t>
  </si>
  <si>
    <t>WM_3</t>
  </si>
  <si>
    <t>LS_1</t>
  </si>
  <si>
    <t>LS_2</t>
  </si>
  <si>
    <t>LS_3</t>
  </si>
  <si>
    <t>aaa</t>
  </si>
  <si>
    <t>bbb</t>
  </si>
  <si>
    <t>ccc</t>
  </si>
  <si>
    <t>name</t>
  </si>
  <si>
    <t>WM</t>
  </si>
  <si>
    <t>LS</t>
  </si>
  <si>
    <t>Lucas</t>
  </si>
  <si>
    <t>Cam</t>
  </si>
  <si>
    <t>Caitlin</t>
  </si>
  <si>
    <t>Alex</t>
  </si>
  <si>
    <t>Bob</t>
  </si>
  <si>
    <t>Sarah</t>
  </si>
  <si>
    <t>role</t>
  </si>
  <si>
    <t>Final Delivery Company</t>
  </si>
  <si>
    <t>To</t>
  </si>
  <si>
    <t>Total</t>
  </si>
  <si>
    <t>Delivery Information</t>
  </si>
  <si>
    <t>Delivery #</t>
  </si>
  <si>
    <t>Origin City</t>
  </si>
  <si>
    <t>Yorktown</t>
  </si>
  <si>
    <t>Delivery City</t>
  </si>
  <si>
    <t>From</t>
  </si>
  <si>
    <t>Delivered?</t>
  </si>
  <si>
    <t>IF #N/A, No Shipment is being made along that route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</si>
</sst>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0">
    <xf numFmtId="0" fontId="0" fillId="0" borderId="0" xfId="0"/>
    <xf numFmtId="0" fontId="0" fillId="4" borderId="2" xfId="0" applyFill="1" applyBorder="1"/>
    <xf numFmtId="0" fontId="0" fillId="4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0" borderId="4" xfId="0" applyBorder="1"/>
    <xf numFmtId="0" fontId="0" fillId="3" borderId="4" xfId="0" applyFill="1" applyBorder="1"/>
    <xf numFmtId="0" fontId="0" fillId="0" borderId="1" xfId="0" applyBorder="1"/>
    <xf numFmtId="0" fontId="0" fillId="0" borderId="6" xfId="0" applyBorder="1"/>
    <xf numFmtId="0" fontId="0" fillId="4" borderId="4" xfId="0" applyFill="1" applyBorder="1"/>
    <xf numFmtId="0" fontId="0" fillId="0" borderId="8" xfId="0" applyBorder="1"/>
    <xf numFmtId="0" fontId="0" fillId="0" borderId="7" xfId="0" applyBorder="1"/>
    <xf numFmtId="0" fontId="0" fillId="0" borderId="9" xfId="0" applyBorder="1"/>
    <xf numFmtId="0" fontId="0" fillId="5" borderId="1" xfId="0" applyFill="1" applyBorder="1"/>
    <xf numFmtId="0" fontId="0" fillId="0" borderId="2" xfId="0" applyBorder="1"/>
    <xf numFmtId="0" fontId="0" fillId="2" borderId="2" xfId="0" applyFill="1" applyBorder="1"/>
    <xf numFmtId="0" fontId="0" fillId="3" borderId="2" xfId="0" applyFill="1" applyBorder="1"/>
    <xf numFmtId="44" fontId="0" fillId="2" borderId="4" xfId="1" applyFont="1" applyFill="1" applyBorder="1"/>
    <xf numFmtId="44" fontId="0" fillId="3" borderId="4" xfId="1" applyFont="1" applyFill="1" applyBorder="1"/>
    <xf numFmtId="44" fontId="0" fillId="2" borderId="5" xfId="1" applyFont="1" applyFill="1" applyBorder="1"/>
    <xf numFmtId="0" fontId="0" fillId="0" borderId="10" xfId="0" applyBorder="1"/>
    <xf numFmtId="44" fontId="0" fillId="6" borderId="1" xfId="1" applyFont="1" applyFill="1" applyBorder="1"/>
    <xf numFmtId="0" fontId="0" fillId="7" borderId="1" xfId="0" applyFill="1" applyBorder="1"/>
    <xf numFmtId="0" fontId="0" fillId="8" borderId="11" xfId="0" applyFill="1" applyBorder="1"/>
    <xf numFmtId="0" fontId="0" fillId="8" borderId="3" xfId="0" applyFill="1" applyBorder="1"/>
    <xf numFmtId="0" fontId="0" fillId="0" borderId="1" xfId="0" applyBorder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3" fillId="0" borderId="0" xfId="0" applyFont="1" applyFill="1"/>
    <xf numFmtId="44" fontId="0" fillId="6" borderId="0" xfId="0" applyNumberFormat="1" applyFill="1" applyAlignment="1">
      <alignment horizontal="center"/>
    </xf>
    <xf numFmtId="44" fontId="0" fillId="6" borderId="0" xfId="1" applyFont="1" applyFill="1" applyAlignment="1">
      <alignment horizontal="center"/>
    </xf>
    <xf numFmtId="44" fontId="0" fillId="11" borderId="0" xfId="1" applyFont="1" applyFill="1"/>
    <xf numFmtId="0" fontId="0" fillId="9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350520</xdr:colOff>
      <xdr:row>42</xdr:row>
      <xdr:rowOff>106680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E8024E6-7C55-428F-92BE-57026E5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523720" cy="8107680"/>
        </a:xfrm>
        <a:prstGeom prst="rect">
          <a:avLst/>
        </a:prstGeom>
      </xdr:spPr>
    </xdr:pic>
    <xdr:clientData/>
  </xdr:twoCellAnchor>
  <xdr:twoCellAnchor>
    <xdr:from>
      <xdr:col>9</xdr:col>
      <xdr:colOff>38100</xdr:colOff>
      <xdr:row>12</xdr:row>
      <xdr:rowOff>137160</xdr:rowOff>
    </xdr:from>
    <xdr:to>
      <xdr:col>14</xdr:col>
      <xdr:colOff>38100</xdr:colOff>
      <xdr:row>17</xdr:row>
      <xdr:rowOff>152400</xdr:rowOff>
    </xdr:to>
    <xdr:sp macro="[0]!LoginButton" textlink="">
      <xdr:nvSpPr>
        <xdr:cNvPr id="4" name="Rectangle 3">
          <a:extLst>
            <a:ext uri="{FF2B5EF4-FFF2-40B4-BE49-F238E27FC236}">
              <a16:creationId xmlns:a16="http://schemas.microsoft.com/office/drawing/2014/main" id="{BB6F78D9-C255-4659-A8C3-DD8194D87D3D}"/>
            </a:ext>
          </a:extLst>
        </xdr:cNvPr>
        <xdr:cNvSpPr/>
      </xdr:nvSpPr>
      <xdr:spPr>
        <a:xfrm>
          <a:off x="5524500" y="2331720"/>
          <a:ext cx="3048000" cy="92964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/>
            <a:t>WELCOME</a:t>
          </a:r>
        </a:p>
        <a:p>
          <a:pPr algn="ctr"/>
          <a:r>
            <a:rPr lang="en-US" sz="2400"/>
            <a:t>CLICK</a:t>
          </a:r>
          <a:r>
            <a:rPr lang="en-US" sz="2400" baseline="0"/>
            <a:t> TO LOGIN</a:t>
          </a:r>
          <a:endParaRPr lang="en-US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44825</xdr:colOff>
      <xdr:row>1</xdr:row>
      <xdr:rowOff>0</xdr:rowOff>
    </xdr:from>
    <xdr:to>
      <xdr:col>9</xdr:col>
      <xdr:colOff>636495</xdr:colOff>
      <xdr:row>4</xdr:row>
      <xdr:rowOff>107577</xdr:rowOff>
    </xdr:to>
    <xdr:sp macro="[0]!Exit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364AA77-40C2-475B-9BBF-67EA43658A22}"/>
            </a:ext>
          </a:extLst>
        </xdr:cNvPr>
        <xdr:cNvSpPr/>
      </xdr:nvSpPr>
      <xdr:spPr>
        <a:xfrm>
          <a:off x="6526307" y="179294"/>
          <a:ext cx="1810870" cy="64545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/>
            <a:t>EXIT</a:t>
          </a:r>
        </a:p>
      </xdr:txBody>
    </xdr:sp>
    <xdr:clientData/>
  </xdr:twoCellAnchor>
  <xdr:twoCellAnchor>
    <xdr:from>
      <xdr:col>9</xdr:col>
      <xdr:colOff>739588</xdr:colOff>
      <xdr:row>0</xdr:row>
      <xdr:rowOff>179295</xdr:rowOff>
    </xdr:from>
    <xdr:to>
      <xdr:col>11</xdr:col>
      <xdr:colOff>493058</xdr:colOff>
      <xdr:row>4</xdr:row>
      <xdr:rowOff>89647</xdr:rowOff>
    </xdr:to>
    <xdr:sp macro="[0]!SwitchToAnalysi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CA5CB46-8031-4378-8E43-BEB65FBC1F03}"/>
            </a:ext>
          </a:extLst>
        </xdr:cNvPr>
        <xdr:cNvSpPr/>
      </xdr:nvSpPr>
      <xdr:spPr>
        <a:xfrm>
          <a:off x="8258735" y="179295"/>
          <a:ext cx="1680882" cy="67235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Switch To Analysis</a:t>
          </a:r>
        </a:p>
      </xdr:txBody>
    </xdr:sp>
    <xdr:clientData/>
  </xdr:twoCellAnchor>
  <xdr:twoCellAnchor>
    <xdr:from>
      <xdr:col>11</xdr:col>
      <xdr:colOff>611841</xdr:colOff>
      <xdr:row>0</xdr:row>
      <xdr:rowOff>174813</xdr:rowOff>
    </xdr:from>
    <xdr:to>
      <xdr:col>14</xdr:col>
      <xdr:colOff>331694</xdr:colOff>
      <xdr:row>4</xdr:row>
      <xdr:rowOff>85165</xdr:rowOff>
    </xdr:to>
    <xdr:sp macro="[0]!SetGasIndex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EA1C0D0-83B1-44F8-88FC-C948B84DD50E}"/>
            </a:ext>
          </a:extLst>
        </xdr:cNvPr>
        <xdr:cNvSpPr/>
      </xdr:nvSpPr>
      <xdr:spPr>
        <a:xfrm>
          <a:off x="10058400" y="174813"/>
          <a:ext cx="1680882" cy="67235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Gas Index</a:t>
          </a:r>
        </a:p>
      </xdr:txBody>
    </xdr:sp>
    <xdr:clientData/>
  </xdr:twoCellAnchor>
  <xdr:twoCellAnchor>
    <xdr:from>
      <xdr:col>14</xdr:col>
      <xdr:colOff>439270</xdr:colOff>
      <xdr:row>0</xdr:row>
      <xdr:rowOff>170331</xdr:rowOff>
    </xdr:from>
    <xdr:to>
      <xdr:col>16</xdr:col>
      <xdr:colOff>506505</xdr:colOff>
      <xdr:row>4</xdr:row>
      <xdr:rowOff>80683</xdr:rowOff>
    </xdr:to>
    <xdr:sp macro="[0]!SetSupplyDemand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90D968-E1A1-4E62-BA03-8683DE6F5C98}"/>
            </a:ext>
          </a:extLst>
        </xdr:cNvPr>
        <xdr:cNvSpPr/>
      </xdr:nvSpPr>
      <xdr:spPr>
        <a:xfrm>
          <a:off x="11846858" y="170331"/>
          <a:ext cx="1680882" cy="67235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Set Origin/Destination</a:t>
          </a:r>
        </a:p>
      </xdr:txBody>
    </xdr:sp>
    <xdr:clientData/>
  </xdr:twoCellAnchor>
  <xdr:twoCellAnchor>
    <xdr:from>
      <xdr:col>16</xdr:col>
      <xdr:colOff>625288</xdr:colOff>
      <xdr:row>0</xdr:row>
      <xdr:rowOff>165848</xdr:rowOff>
    </xdr:from>
    <xdr:to>
      <xdr:col>19</xdr:col>
      <xdr:colOff>87405</xdr:colOff>
      <xdr:row>4</xdr:row>
      <xdr:rowOff>76200</xdr:rowOff>
    </xdr:to>
    <xdr:sp macro="[0]!SetFinalDestination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8DCFF33-CED8-47AE-8939-E3AB0F79D991}"/>
            </a:ext>
          </a:extLst>
        </xdr:cNvPr>
        <xdr:cNvSpPr/>
      </xdr:nvSpPr>
      <xdr:spPr>
        <a:xfrm>
          <a:off x="13646523" y="165848"/>
          <a:ext cx="1680882" cy="67235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Variable Destination</a:t>
          </a:r>
        </a:p>
      </xdr:txBody>
    </xdr:sp>
    <xdr:clientData/>
  </xdr:twoCellAnchor>
  <xdr:twoCellAnchor>
    <xdr:from>
      <xdr:col>19</xdr:col>
      <xdr:colOff>251011</xdr:colOff>
      <xdr:row>1</xdr:row>
      <xdr:rowOff>4484</xdr:rowOff>
    </xdr:from>
    <xdr:to>
      <xdr:col>21</xdr:col>
      <xdr:colOff>71717</xdr:colOff>
      <xdr:row>4</xdr:row>
      <xdr:rowOff>105336</xdr:rowOff>
    </xdr:to>
    <xdr:sp macro="[0]!RoutingProblem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6DAE1EB-D504-40D7-83B6-D7D5A072D319}"/>
            </a:ext>
          </a:extLst>
        </xdr:cNvPr>
        <xdr:cNvSpPr/>
      </xdr:nvSpPr>
      <xdr:spPr>
        <a:xfrm>
          <a:off x="15491011" y="194984"/>
          <a:ext cx="1680882" cy="67235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Find</a:t>
          </a:r>
          <a:r>
            <a:rPr lang="en-US" sz="1100" baseline="0"/>
            <a:t> Best Route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</xdr:colOff>
      <xdr:row>0</xdr:row>
      <xdr:rowOff>104775</xdr:rowOff>
    </xdr:from>
    <xdr:to>
      <xdr:col>15</xdr:col>
      <xdr:colOff>68580</xdr:colOff>
      <xdr:row>3</xdr:row>
      <xdr:rowOff>20955</xdr:rowOff>
    </xdr:to>
    <xdr:sp macro="[0]!ExitButt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F6DB0CB-3E6C-428A-8A0D-FE1519A4F6A8}"/>
            </a:ext>
          </a:extLst>
        </xdr:cNvPr>
        <xdr:cNvSpPr/>
      </xdr:nvSpPr>
      <xdr:spPr>
        <a:xfrm>
          <a:off x="10521315" y="104775"/>
          <a:ext cx="1234440" cy="4876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EXIT</a:t>
          </a:r>
        </a:p>
      </xdr:txBody>
    </xdr:sp>
    <xdr:clientData/>
  </xdr:twoCellAnchor>
  <xdr:twoCellAnchor>
    <xdr:from>
      <xdr:col>9</xdr:col>
      <xdr:colOff>161925</xdr:colOff>
      <xdr:row>16</xdr:row>
      <xdr:rowOff>0</xdr:rowOff>
    </xdr:from>
    <xdr:to>
      <xdr:col>12</xdr:col>
      <xdr:colOff>14007</xdr:colOff>
      <xdr:row>19</xdr:row>
      <xdr:rowOff>100852</xdr:rowOff>
    </xdr:to>
    <xdr:sp macro="[0]!Refresh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F15F6DB-2705-4B83-8CAB-686E6E0BBD06}"/>
            </a:ext>
          </a:extLst>
        </xdr:cNvPr>
        <xdr:cNvSpPr/>
      </xdr:nvSpPr>
      <xdr:spPr>
        <a:xfrm>
          <a:off x="8191500" y="3048000"/>
          <a:ext cx="1680882" cy="67235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Refresh Table</a:t>
          </a:r>
        </a:p>
      </xdr:txBody>
    </xdr:sp>
    <xdr:clientData/>
  </xdr:twoCellAnchor>
  <xdr:twoCellAnchor>
    <xdr:from>
      <xdr:col>9</xdr:col>
      <xdr:colOff>161925</xdr:colOff>
      <xdr:row>0</xdr:row>
      <xdr:rowOff>76200</xdr:rowOff>
    </xdr:from>
    <xdr:to>
      <xdr:col>12</xdr:col>
      <xdr:colOff>14007</xdr:colOff>
      <xdr:row>3</xdr:row>
      <xdr:rowOff>177052</xdr:rowOff>
    </xdr:to>
    <xdr:sp macro="[0]!SetGasIndex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F54B083-1A53-45DD-B877-2C386A5404C5}"/>
            </a:ext>
          </a:extLst>
        </xdr:cNvPr>
        <xdr:cNvSpPr/>
      </xdr:nvSpPr>
      <xdr:spPr>
        <a:xfrm>
          <a:off x="8191500" y="76200"/>
          <a:ext cx="1680882" cy="67235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Gas Index</a:t>
          </a:r>
        </a:p>
      </xdr:txBody>
    </xdr:sp>
    <xdr:clientData/>
  </xdr:twoCellAnchor>
  <xdr:twoCellAnchor>
    <xdr:from>
      <xdr:col>9</xdr:col>
      <xdr:colOff>161925</xdr:colOff>
      <xdr:row>8</xdr:row>
      <xdr:rowOff>66675</xdr:rowOff>
    </xdr:from>
    <xdr:to>
      <xdr:col>12</xdr:col>
      <xdr:colOff>14007</xdr:colOff>
      <xdr:row>11</xdr:row>
      <xdr:rowOff>167527</xdr:rowOff>
    </xdr:to>
    <xdr:sp macro="[0]!SetSupplyDemand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C673FCD-7797-4B62-B71B-13AEC726B9B3}"/>
            </a:ext>
          </a:extLst>
        </xdr:cNvPr>
        <xdr:cNvSpPr/>
      </xdr:nvSpPr>
      <xdr:spPr>
        <a:xfrm>
          <a:off x="8191500" y="1590675"/>
          <a:ext cx="1680882" cy="67235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Set Origin/Destination</a:t>
          </a:r>
        </a:p>
      </xdr:txBody>
    </xdr:sp>
    <xdr:clientData/>
  </xdr:twoCellAnchor>
  <xdr:twoCellAnchor>
    <xdr:from>
      <xdr:col>9</xdr:col>
      <xdr:colOff>161925</xdr:colOff>
      <xdr:row>4</xdr:row>
      <xdr:rowOff>66675</xdr:rowOff>
    </xdr:from>
    <xdr:to>
      <xdr:col>12</xdr:col>
      <xdr:colOff>14007</xdr:colOff>
      <xdr:row>7</xdr:row>
      <xdr:rowOff>167527</xdr:rowOff>
    </xdr:to>
    <xdr:sp macro="[0]!SetFinalDestinatio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AB222A0-BF55-45A0-8562-7F5C31F5A3BB}"/>
            </a:ext>
          </a:extLst>
        </xdr:cNvPr>
        <xdr:cNvSpPr/>
      </xdr:nvSpPr>
      <xdr:spPr>
        <a:xfrm>
          <a:off x="8191500" y="828675"/>
          <a:ext cx="1680882" cy="67235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Variable Destination</a:t>
          </a:r>
        </a:p>
      </xdr:txBody>
    </xdr:sp>
    <xdr:clientData/>
  </xdr:twoCellAnchor>
  <xdr:twoCellAnchor>
    <xdr:from>
      <xdr:col>9</xdr:col>
      <xdr:colOff>161925</xdr:colOff>
      <xdr:row>12</xdr:row>
      <xdr:rowOff>47625</xdr:rowOff>
    </xdr:from>
    <xdr:to>
      <xdr:col>12</xdr:col>
      <xdr:colOff>14007</xdr:colOff>
      <xdr:row>15</xdr:row>
      <xdr:rowOff>148477</xdr:rowOff>
    </xdr:to>
    <xdr:sp macro="[0]!RoutingProblem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F1A1229-EE3E-44B8-A24B-B6249CFE2D68}"/>
            </a:ext>
          </a:extLst>
        </xdr:cNvPr>
        <xdr:cNvSpPr/>
      </xdr:nvSpPr>
      <xdr:spPr>
        <a:xfrm>
          <a:off x="8191500" y="2333625"/>
          <a:ext cx="1680882" cy="67235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Find</a:t>
          </a:r>
          <a:r>
            <a:rPr lang="en-US" sz="1100" baseline="0"/>
            <a:t> Best Route</a:t>
          </a:r>
          <a:endParaRPr lang="en-US" sz="1100"/>
        </a:p>
      </xdr:txBody>
    </xdr:sp>
    <xdr:clientData/>
  </xdr:twoCellAnchor>
  <xdr:twoCellAnchor>
    <xdr:from>
      <xdr:col>9</xdr:col>
      <xdr:colOff>161925</xdr:colOff>
      <xdr:row>20</xdr:row>
      <xdr:rowOff>0</xdr:rowOff>
    </xdr:from>
    <xdr:to>
      <xdr:col>12</xdr:col>
      <xdr:colOff>76200</xdr:colOff>
      <xdr:row>23</xdr:row>
      <xdr:rowOff>66675</xdr:rowOff>
    </xdr:to>
    <xdr:sp macro="[0]!FindShipInfo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B50AE39-1A66-423F-8170-5AB6AB4D9531}"/>
            </a:ext>
          </a:extLst>
        </xdr:cNvPr>
        <xdr:cNvSpPr/>
      </xdr:nvSpPr>
      <xdr:spPr>
        <a:xfrm>
          <a:off x="8191500" y="3810000"/>
          <a:ext cx="1743075" cy="638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  <a:r>
            <a:rPr lang="en-US" sz="1100" baseline="0"/>
            <a:t> Current Delivery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1</xdr:row>
      <xdr:rowOff>85725</xdr:rowOff>
    </xdr:from>
    <xdr:to>
      <xdr:col>7</xdr:col>
      <xdr:colOff>19050</xdr:colOff>
      <xdr:row>4</xdr:row>
      <xdr:rowOff>152400</xdr:rowOff>
    </xdr:to>
    <xdr:sp macro="[0]!FindShipInfo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74DEC55-5045-46DD-B2EE-1987BD672165}"/>
            </a:ext>
          </a:extLst>
        </xdr:cNvPr>
        <xdr:cNvSpPr/>
      </xdr:nvSpPr>
      <xdr:spPr>
        <a:xfrm>
          <a:off x="4286250" y="276225"/>
          <a:ext cx="1743075" cy="638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  <a:r>
            <a:rPr lang="en-US" sz="1100" baseline="0"/>
            <a:t> Current Delivery</a:t>
          </a:r>
          <a:endParaRPr lang="en-US" sz="1100"/>
        </a:p>
      </xdr:txBody>
    </xdr:sp>
    <xdr:clientData/>
  </xdr:twoCellAnchor>
  <xdr:twoCellAnchor>
    <xdr:from>
      <xdr:col>7</xdr:col>
      <xdr:colOff>123825</xdr:colOff>
      <xdr:row>1</xdr:row>
      <xdr:rowOff>85725</xdr:rowOff>
    </xdr:from>
    <xdr:to>
      <xdr:col>10</xdr:col>
      <xdr:colOff>38100</xdr:colOff>
      <xdr:row>4</xdr:row>
      <xdr:rowOff>152400</xdr:rowOff>
    </xdr:to>
    <xdr:sp macro="[0]!SwitchToFormul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C8921DE-2E9B-4A94-BA4D-399A72F1E263}"/>
            </a:ext>
          </a:extLst>
        </xdr:cNvPr>
        <xdr:cNvSpPr/>
      </xdr:nvSpPr>
      <xdr:spPr>
        <a:xfrm>
          <a:off x="6134100" y="276225"/>
          <a:ext cx="1743075" cy="638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Switch To Formula Page</a:t>
          </a:r>
        </a:p>
      </xdr:txBody>
    </xdr:sp>
    <xdr:clientData/>
  </xdr:twoCellAnchor>
  <xdr:twoCellAnchor>
    <xdr:from>
      <xdr:col>10</xdr:col>
      <xdr:colOff>133350</xdr:colOff>
      <xdr:row>1</xdr:row>
      <xdr:rowOff>85725</xdr:rowOff>
    </xdr:from>
    <xdr:to>
      <xdr:col>13</xdr:col>
      <xdr:colOff>47625</xdr:colOff>
      <xdr:row>4</xdr:row>
      <xdr:rowOff>152400</xdr:rowOff>
    </xdr:to>
    <xdr:sp macro="[0]!Exit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099D020-CA3C-4F12-A17F-A1ADFC1B3622}"/>
            </a:ext>
          </a:extLst>
        </xdr:cNvPr>
        <xdr:cNvSpPr/>
      </xdr:nvSpPr>
      <xdr:spPr>
        <a:xfrm>
          <a:off x="7972425" y="276225"/>
          <a:ext cx="1743075" cy="638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Exit</a:t>
          </a:r>
        </a:p>
      </xdr:txBody>
    </xdr:sp>
    <xdr:clientData/>
  </xdr:twoCellAnchor>
  <xdr:twoCellAnchor>
    <xdr:from>
      <xdr:col>13</xdr:col>
      <xdr:colOff>142875</xdr:colOff>
      <xdr:row>1</xdr:row>
      <xdr:rowOff>95250</xdr:rowOff>
    </xdr:from>
    <xdr:to>
      <xdr:col>16</xdr:col>
      <xdr:colOff>57150</xdr:colOff>
      <xdr:row>4</xdr:row>
      <xdr:rowOff>161925</xdr:rowOff>
    </xdr:to>
    <xdr:sp macro="[0]!Clear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5AEB414-0833-4FC3-B65A-00EB113E9E4B}"/>
            </a:ext>
          </a:extLst>
        </xdr:cNvPr>
        <xdr:cNvSpPr/>
      </xdr:nvSpPr>
      <xdr:spPr>
        <a:xfrm>
          <a:off x="9810750" y="285750"/>
          <a:ext cx="1743075" cy="638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Table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0DFD1B-BEE0-4DB6-BCDB-6BB4867ABA47}" name="Table1" displayName="Table1" ref="A3:D46" totalsRowShown="0">
  <autoFilter ref="A3:D46" xr:uid="{66640C85-6027-4077-B647-3084A283754F}"/>
  <tableColumns count="4">
    <tableColumn id="1" xr3:uid="{1B1C3EC6-1594-4E46-B059-D30835645539}" name="Delivery #"/>
    <tableColumn id="2" xr3:uid="{E0BE7FB3-9F52-42EA-B4DA-A7649D12A0F8}" name="Origin City"/>
    <tableColumn id="3" xr3:uid="{5D9D3BCE-CB3B-437A-9C18-1FBBD4A506D0}" name="Delivery City"/>
    <tableColumn id="4" xr3:uid="{6F7D26D6-7296-47F2-B457-00BE86ED0F9C}" name="Total Cost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A88FF-4D46-47B8-B086-208B80C98569}">
  <sheetPr codeName="Sheet2"/>
  <dimension ref="A1"/>
  <sheetViews>
    <sheetView tabSelected="1" workbookViewId="0">
      <selection sqref="A1:XFD1048576"/>
    </sheetView>
  </sheetViews>
  <sheetFormatPr defaultColWidth="8.85546875" defaultRowHeight="15" x14ac:dyDescent="0.25"/>
  <cols>
    <col min="1" max="16384" width="8.85546875" style="34"/>
  </cols>
  <sheetData/>
  <mergeCells count="1">
    <mergeCell ref="A1:XFD104857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6CD99-4172-4F31-9F31-A13FA030476E}">
  <sheetPr codeName="Sheet3"/>
  <dimension ref="A1:D7"/>
  <sheetViews>
    <sheetView workbookViewId="0">
      <selection activeCell="D17" sqref="D17"/>
    </sheetView>
  </sheetViews>
  <sheetFormatPr defaultRowHeight="15" x14ac:dyDescent="0.25"/>
  <sheetData>
    <row r="1" spans="1:4" x14ac:dyDescent="0.25">
      <c r="A1" s="25" t="s">
        <v>35</v>
      </c>
      <c r="B1" s="25" t="s">
        <v>36</v>
      </c>
      <c r="C1" s="25" t="s">
        <v>46</v>
      </c>
      <c r="D1" s="25" t="s">
        <v>55</v>
      </c>
    </row>
    <row r="2" spans="1:4" x14ac:dyDescent="0.25">
      <c r="A2" s="25" t="s">
        <v>37</v>
      </c>
      <c r="B2" s="25">
        <v>123</v>
      </c>
      <c r="C2" s="25" t="s">
        <v>49</v>
      </c>
      <c r="D2" s="25" t="s">
        <v>47</v>
      </c>
    </row>
    <row r="3" spans="1:4" x14ac:dyDescent="0.25">
      <c r="A3" s="25" t="s">
        <v>38</v>
      </c>
      <c r="B3" s="25">
        <v>456</v>
      </c>
      <c r="C3" s="25" t="s">
        <v>50</v>
      </c>
      <c r="D3" s="25" t="s">
        <v>47</v>
      </c>
    </row>
    <row r="4" spans="1:4" x14ac:dyDescent="0.25">
      <c r="A4" s="25" t="s">
        <v>39</v>
      </c>
      <c r="B4" s="25">
        <v>789</v>
      </c>
      <c r="C4" s="25" t="s">
        <v>51</v>
      </c>
      <c r="D4" s="25" t="s">
        <v>47</v>
      </c>
    </row>
    <row r="5" spans="1:4" x14ac:dyDescent="0.25">
      <c r="A5" s="25" t="s">
        <v>40</v>
      </c>
      <c r="B5" s="25" t="s">
        <v>43</v>
      </c>
      <c r="C5" s="25" t="s">
        <v>52</v>
      </c>
      <c r="D5" s="25" t="s">
        <v>48</v>
      </c>
    </row>
    <row r="6" spans="1:4" x14ac:dyDescent="0.25">
      <c r="A6" s="25" t="s">
        <v>41</v>
      </c>
      <c r="B6" s="25" t="s">
        <v>44</v>
      </c>
      <c r="C6" s="25" t="s">
        <v>53</v>
      </c>
      <c r="D6" s="25" t="s">
        <v>48</v>
      </c>
    </row>
    <row r="7" spans="1:4" x14ac:dyDescent="0.25">
      <c r="A7" s="25" t="s">
        <v>42</v>
      </c>
      <c r="B7" s="25" t="s">
        <v>45</v>
      </c>
      <c r="C7" s="25" t="s">
        <v>54</v>
      </c>
      <c r="D7" s="25" t="s">
        <v>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1C2D4-0892-45D8-83DE-841327F54915}">
  <sheetPr codeName="Sheet1"/>
  <dimension ref="A2:U39"/>
  <sheetViews>
    <sheetView topLeftCell="C1" zoomScale="85" workbookViewId="0">
      <selection activeCell="I39" sqref="I39"/>
    </sheetView>
  </sheetViews>
  <sheetFormatPr defaultRowHeight="15" x14ac:dyDescent="0.25"/>
  <cols>
    <col min="1" max="1" width="13.42578125" bestFit="1" customWidth="1"/>
    <col min="2" max="2" width="13.42578125" customWidth="1"/>
    <col min="3" max="3" width="13.42578125" bestFit="1" customWidth="1"/>
    <col min="4" max="4" width="13.42578125" customWidth="1"/>
    <col min="5" max="5" width="16.5703125" bestFit="1" customWidth="1"/>
    <col min="7" max="7" width="15.140625" bestFit="1" customWidth="1"/>
    <col min="10" max="10" width="17.7109375" bestFit="1" customWidth="1"/>
    <col min="11" max="11" width="11.28515625" bestFit="1" customWidth="1"/>
    <col min="12" max="12" width="11.28515625" customWidth="1"/>
    <col min="16" max="17" width="15.140625" bestFit="1" customWidth="1"/>
    <col min="20" max="20" width="12.42578125" bestFit="1" customWidth="1"/>
    <col min="21" max="21" width="15.42578125" bestFit="1" customWidth="1"/>
  </cols>
  <sheetData>
    <row r="2" spans="1:21" x14ac:dyDescent="0.25">
      <c r="C2" s="1" t="s">
        <v>6</v>
      </c>
      <c r="D2" s="9"/>
      <c r="E2" s="2">
        <v>2.4</v>
      </c>
    </row>
    <row r="8" spans="1:21" x14ac:dyDescent="0.25">
      <c r="A8" s="35" t="s">
        <v>2</v>
      </c>
      <c r="B8" s="35"/>
      <c r="C8" s="35"/>
      <c r="D8" s="35"/>
      <c r="E8" s="35"/>
      <c r="F8" s="35"/>
      <c r="G8" s="35"/>
      <c r="I8" s="35" t="s">
        <v>13</v>
      </c>
      <c r="J8" s="35"/>
      <c r="K8" s="35"/>
      <c r="L8" s="35"/>
      <c r="M8" s="35"/>
      <c r="N8" s="35"/>
      <c r="O8" s="35"/>
      <c r="P8" s="35"/>
      <c r="Q8" s="35"/>
      <c r="S8" s="35" t="s">
        <v>21</v>
      </c>
      <c r="T8" s="35"/>
      <c r="U8" s="35"/>
    </row>
    <row r="9" spans="1:21" x14ac:dyDescent="0.25">
      <c r="A9" s="8" t="s">
        <v>0</v>
      </c>
      <c r="B9" s="8" t="s">
        <v>33</v>
      </c>
      <c r="C9" s="8" t="s">
        <v>1</v>
      </c>
      <c r="D9" s="8" t="s">
        <v>34</v>
      </c>
      <c r="E9" s="8" t="s">
        <v>4</v>
      </c>
      <c r="F9" s="8" t="s">
        <v>5</v>
      </c>
      <c r="G9" s="7" t="s">
        <v>12</v>
      </c>
      <c r="I9" s="7" t="s">
        <v>32</v>
      </c>
      <c r="J9" s="7" t="s">
        <v>19</v>
      </c>
      <c r="K9" s="7" t="s">
        <v>0</v>
      </c>
      <c r="L9" s="7" t="s">
        <v>33</v>
      </c>
      <c r="M9" s="7" t="s">
        <v>1</v>
      </c>
      <c r="N9" s="7" t="s">
        <v>34</v>
      </c>
      <c r="O9" s="7" t="s">
        <v>4</v>
      </c>
      <c r="P9" s="7" t="s">
        <v>5</v>
      </c>
      <c r="Q9" s="7" t="s">
        <v>12</v>
      </c>
      <c r="S9" s="7" t="s">
        <v>22</v>
      </c>
      <c r="T9" s="7" t="s">
        <v>23</v>
      </c>
      <c r="U9" s="7" t="s">
        <v>24</v>
      </c>
    </row>
    <row r="10" spans="1:21" x14ac:dyDescent="0.25">
      <c r="A10" s="3" t="s">
        <v>3</v>
      </c>
      <c r="B10" s="3">
        <v>1</v>
      </c>
      <c r="C10" s="3" t="s">
        <v>7</v>
      </c>
      <c r="D10" s="3">
        <v>2</v>
      </c>
      <c r="E10" s="3">
        <v>683</v>
      </c>
      <c r="F10" s="17">
        <f t="shared" ref="F10:F39" si="0">130+(E10*0.6*(1+(GasIndex*0.07)))</f>
        <v>608.64639999999997</v>
      </c>
      <c r="G10" s="13">
        <v>0</v>
      </c>
      <c r="I10" s="7" t="s">
        <v>14</v>
      </c>
      <c r="J10" s="14" t="s">
        <v>20</v>
      </c>
      <c r="K10" s="15" t="s">
        <v>3</v>
      </c>
      <c r="L10" s="4">
        <v>1</v>
      </c>
      <c r="M10" s="4" t="s">
        <v>62</v>
      </c>
      <c r="N10" s="4">
        <v>7</v>
      </c>
      <c r="O10" s="4">
        <v>1000</v>
      </c>
      <c r="P10" s="19">
        <f t="shared" ref="P10:P15" si="1">130+(O10*0.6*(1+(GasIndex*0.07)))</f>
        <v>830.8</v>
      </c>
      <c r="Q10" s="13">
        <v>0</v>
      </c>
      <c r="S10" s="7">
        <v>1</v>
      </c>
      <c r="T10" s="7">
        <f>SUMIF(IRDestinationRoute,S10,IRTrucks)+SUMIF($N$10:$N$33,S10,Q10:Q33)-SUMIF(IROriginRoute,S10,IRTrucks)-SUMIF($L$10:$L$33,S10,Q10:Q33)</f>
        <v>-1</v>
      </c>
      <c r="U10" s="22">
        <v>-1</v>
      </c>
    </row>
    <row r="11" spans="1:21" x14ac:dyDescent="0.25">
      <c r="A11" s="3" t="s">
        <v>3</v>
      </c>
      <c r="B11" s="3">
        <v>1</v>
      </c>
      <c r="C11" s="3" t="s">
        <v>8</v>
      </c>
      <c r="D11" s="3">
        <v>3</v>
      </c>
      <c r="E11" s="3">
        <v>566</v>
      </c>
      <c r="F11" s="17">
        <f t="shared" si="0"/>
        <v>526.65279999999996</v>
      </c>
      <c r="G11" s="13">
        <v>0</v>
      </c>
      <c r="I11" s="10"/>
      <c r="J11" s="14" t="s">
        <v>20</v>
      </c>
      <c r="K11" s="15" t="s">
        <v>7</v>
      </c>
      <c r="L11" s="3">
        <v>2</v>
      </c>
      <c r="M11" s="3" t="s">
        <v>62</v>
      </c>
      <c r="N11" s="3">
        <v>7</v>
      </c>
      <c r="O11" s="3">
        <v>1000</v>
      </c>
      <c r="P11" s="17">
        <f t="shared" si="1"/>
        <v>830.8</v>
      </c>
      <c r="Q11" s="13">
        <v>0</v>
      </c>
      <c r="S11" s="7">
        <v>2</v>
      </c>
      <c r="T11" s="7">
        <f>SUMIF(IRDestinationRoute,S11,IRTrucks)+SUMIF($N$10:$N$33,S11,Q10:Q33)-SUMIF(IROriginRoute,S11,IRTrucks)-SUMIF($L$10:$L$33,S11,Q10:Q33)</f>
        <v>0</v>
      </c>
      <c r="U11" s="22">
        <v>0</v>
      </c>
    </row>
    <row r="12" spans="1:21" x14ac:dyDescent="0.25">
      <c r="A12" s="3" t="s">
        <v>3</v>
      </c>
      <c r="B12" s="3">
        <v>1</v>
      </c>
      <c r="C12" s="3" t="s">
        <v>9</v>
      </c>
      <c r="D12" s="3">
        <v>4</v>
      </c>
      <c r="E12" s="3">
        <v>873</v>
      </c>
      <c r="F12" s="17">
        <f t="shared" si="0"/>
        <v>741.7983999999999</v>
      </c>
      <c r="G12" s="13">
        <v>1</v>
      </c>
      <c r="I12" s="11"/>
      <c r="J12" s="14" t="s">
        <v>20</v>
      </c>
      <c r="K12" s="15" t="s">
        <v>8</v>
      </c>
      <c r="L12" s="3">
        <v>3</v>
      </c>
      <c r="M12" s="3" t="s">
        <v>62</v>
      </c>
      <c r="N12" s="3">
        <v>7</v>
      </c>
      <c r="O12" s="3">
        <v>1000</v>
      </c>
      <c r="P12" s="17">
        <f t="shared" si="1"/>
        <v>830.8</v>
      </c>
      <c r="Q12" s="13">
        <v>0</v>
      </c>
      <c r="S12" s="7">
        <v>3</v>
      </c>
      <c r="T12" s="7">
        <f>SUMIF(IRDestinationRoute,S12,IRTrucks)+SUMIF($N$10:$N$33,S12,Q10:Q33)-SUMIF(IROriginRoute,S12,IRTrucks)-SUMIF($L$10:$L$33,S12,Q10:Q33)</f>
        <v>0</v>
      </c>
      <c r="U12" s="22">
        <v>0</v>
      </c>
    </row>
    <row r="13" spans="1:21" x14ac:dyDescent="0.25">
      <c r="A13" s="3" t="s">
        <v>3</v>
      </c>
      <c r="B13" s="3">
        <v>1</v>
      </c>
      <c r="C13" s="3" t="s">
        <v>10</v>
      </c>
      <c r="D13" s="3">
        <v>5</v>
      </c>
      <c r="E13" s="3">
        <v>245</v>
      </c>
      <c r="F13" s="17">
        <f t="shared" si="0"/>
        <v>301.69600000000003</v>
      </c>
      <c r="G13" s="13">
        <v>0</v>
      </c>
      <c r="I13" s="11"/>
      <c r="J13" s="14" t="s">
        <v>20</v>
      </c>
      <c r="K13" s="15" t="s">
        <v>9</v>
      </c>
      <c r="L13" s="3">
        <v>4</v>
      </c>
      <c r="M13" s="3" t="s">
        <v>62</v>
      </c>
      <c r="N13" s="3">
        <v>7</v>
      </c>
      <c r="O13" s="3">
        <v>1000</v>
      </c>
      <c r="P13" s="17">
        <f t="shared" si="1"/>
        <v>830.8</v>
      </c>
      <c r="Q13" s="13">
        <v>0</v>
      </c>
      <c r="S13" s="7">
        <v>4</v>
      </c>
      <c r="T13" s="7">
        <f>SUMIF(IRDestinationRoute,S13,IRTrucks)+SUMIF($N$10:$N$33,S13,Q10:Q33)-SUMIF(IROriginRoute,S13,IRTrucks)-SUMIF($L$10:$L$33,S13,Q10:Q33)</f>
        <v>0</v>
      </c>
      <c r="U13" s="22">
        <v>0</v>
      </c>
    </row>
    <row r="14" spans="1:21" x14ac:dyDescent="0.25">
      <c r="A14" s="3" t="s">
        <v>3</v>
      </c>
      <c r="B14" s="3">
        <v>1</v>
      </c>
      <c r="C14" s="3" t="s">
        <v>11</v>
      </c>
      <c r="D14" s="3">
        <v>6</v>
      </c>
      <c r="E14" s="3">
        <v>717</v>
      </c>
      <c r="F14" s="17">
        <f t="shared" si="0"/>
        <v>632.47360000000003</v>
      </c>
      <c r="G14" s="13">
        <v>0</v>
      </c>
      <c r="I14" s="11"/>
      <c r="J14" s="14" t="s">
        <v>20</v>
      </c>
      <c r="K14" s="15" t="s">
        <v>10</v>
      </c>
      <c r="L14" s="3">
        <v>5</v>
      </c>
      <c r="M14" s="3" t="s">
        <v>62</v>
      </c>
      <c r="N14" s="3">
        <v>7</v>
      </c>
      <c r="O14" s="3">
        <v>1000</v>
      </c>
      <c r="P14" s="17">
        <f t="shared" si="1"/>
        <v>830.8</v>
      </c>
      <c r="Q14" s="13">
        <v>0</v>
      </c>
      <c r="S14" s="7">
        <v>5</v>
      </c>
      <c r="T14" s="7">
        <f>SUMIF(IRDestinationRoute,S14,IRTrucks)+SUMIF($N$10:$N$33,S14,Q10:Q33)-SUMIF(IROriginRoute,S14,IRTrucks)-SUMIF($L$10:$L$33,S14,Q10:Q33)</f>
        <v>0</v>
      </c>
      <c r="U14" s="22">
        <v>0</v>
      </c>
    </row>
    <row r="15" spans="1:21" x14ac:dyDescent="0.25">
      <c r="A15" s="6" t="s">
        <v>7</v>
      </c>
      <c r="B15" s="6">
        <v>2</v>
      </c>
      <c r="C15" s="6" t="s">
        <v>3</v>
      </c>
      <c r="D15" s="6">
        <v>1</v>
      </c>
      <c r="E15" s="6">
        <v>683</v>
      </c>
      <c r="F15" s="18">
        <f t="shared" si="0"/>
        <v>608.64639999999997</v>
      </c>
      <c r="G15" s="13">
        <v>0</v>
      </c>
      <c r="I15" s="12"/>
      <c r="J15" s="14" t="s">
        <v>20</v>
      </c>
      <c r="K15" s="15" t="s">
        <v>11</v>
      </c>
      <c r="L15" s="3">
        <v>6</v>
      </c>
      <c r="M15" s="3" t="s">
        <v>62</v>
      </c>
      <c r="N15" s="3">
        <v>7</v>
      </c>
      <c r="O15" s="3">
        <v>1000</v>
      </c>
      <c r="P15" s="17">
        <f t="shared" si="1"/>
        <v>830.8</v>
      </c>
      <c r="Q15" s="13">
        <v>0</v>
      </c>
      <c r="S15" s="7">
        <v>6</v>
      </c>
      <c r="T15" s="7">
        <f>SUMIF(IRDestinationRoute,S15,IRTrucks)+SUMIF($N$10:$N$33,S15,Q10:Q33)-SUMIF(IROriginRoute,S15,IRTrucks)-SUMIF($L$10:$L$33,S15,Q10:Q33)</f>
        <v>0</v>
      </c>
      <c r="U15" s="22">
        <v>1</v>
      </c>
    </row>
    <row r="16" spans="1:21" x14ac:dyDescent="0.25">
      <c r="A16" s="6" t="s">
        <v>7</v>
      </c>
      <c r="B16" s="6">
        <v>2</v>
      </c>
      <c r="C16" s="6" t="s">
        <v>8</v>
      </c>
      <c r="D16" s="6">
        <v>3</v>
      </c>
      <c r="E16" s="6">
        <v>238</v>
      </c>
      <c r="F16" s="18">
        <f t="shared" si="0"/>
        <v>296.79039999999998</v>
      </c>
      <c r="G16" s="13">
        <v>0</v>
      </c>
      <c r="I16" s="7" t="s">
        <v>15</v>
      </c>
      <c r="J16" s="14" t="s">
        <v>16</v>
      </c>
      <c r="K16" s="16" t="s">
        <v>3</v>
      </c>
      <c r="L16" s="6">
        <v>1</v>
      </c>
      <c r="M16" s="6" t="s">
        <v>62</v>
      </c>
      <c r="N16" s="6">
        <v>7</v>
      </c>
      <c r="O16" s="6">
        <v>1000</v>
      </c>
      <c r="P16" s="18">
        <f t="shared" ref="P16:P21" si="2">140+(O16*(GasIndex*0.5))</f>
        <v>1340</v>
      </c>
      <c r="Q16" s="13">
        <v>0</v>
      </c>
      <c r="S16" s="7">
        <v>7</v>
      </c>
      <c r="T16" s="7">
        <f>SUMIF(IRDestinationRoute,S16,IRTrucks)+SUMIF($N$10:$N$33,S16,Q10:Q33)-SUMIF(IROriginRoute,S16,IRTrucks)-SUMIF($L$10:$L$33,S16,Q10:Q33)</f>
        <v>1</v>
      </c>
      <c r="U16" s="22">
        <v>1</v>
      </c>
    </row>
    <row r="17" spans="1:21" x14ac:dyDescent="0.25">
      <c r="A17" s="6" t="s">
        <v>7</v>
      </c>
      <c r="B17" s="6">
        <v>2</v>
      </c>
      <c r="C17" s="6" t="s">
        <v>9</v>
      </c>
      <c r="D17" s="6">
        <v>4</v>
      </c>
      <c r="E17" s="6">
        <v>192</v>
      </c>
      <c r="F17" s="18">
        <f t="shared" si="0"/>
        <v>264.55359999999996</v>
      </c>
      <c r="G17" s="13">
        <v>0</v>
      </c>
      <c r="I17" s="10"/>
      <c r="J17" s="14" t="s">
        <v>16</v>
      </c>
      <c r="K17" s="16" t="s">
        <v>7</v>
      </c>
      <c r="L17" s="6">
        <v>2</v>
      </c>
      <c r="M17" s="6" t="s">
        <v>62</v>
      </c>
      <c r="N17" s="6">
        <v>7</v>
      </c>
      <c r="O17" s="6">
        <v>1000</v>
      </c>
      <c r="P17" s="18">
        <f t="shared" si="2"/>
        <v>1340</v>
      </c>
      <c r="Q17" s="13">
        <v>0</v>
      </c>
    </row>
    <row r="18" spans="1:21" x14ac:dyDescent="0.25">
      <c r="A18" s="6" t="s">
        <v>7</v>
      </c>
      <c r="B18" s="6">
        <v>2</v>
      </c>
      <c r="C18" s="6" t="s">
        <v>10</v>
      </c>
      <c r="D18" s="6">
        <v>5</v>
      </c>
      <c r="E18" s="6">
        <v>444</v>
      </c>
      <c r="F18" s="18">
        <f t="shared" si="0"/>
        <v>441.15519999999998</v>
      </c>
      <c r="G18" s="13">
        <v>0</v>
      </c>
      <c r="I18" s="11"/>
      <c r="J18" s="14" t="s">
        <v>16</v>
      </c>
      <c r="K18" s="16" t="s">
        <v>8</v>
      </c>
      <c r="L18" s="6">
        <v>3</v>
      </c>
      <c r="M18" s="6" t="s">
        <v>62</v>
      </c>
      <c r="N18" s="6">
        <v>7</v>
      </c>
      <c r="O18" s="6">
        <v>1000</v>
      </c>
      <c r="P18" s="18">
        <f t="shared" si="2"/>
        <v>1340</v>
      </c>
      <c r="Q18" s="13">
        <v>0</v>
      </c>
      <c r="S18" s="36" t="s">
        <v>25</v>
      </c>
      <c r="T18" s="37"/>
      <c r="U18" s="38"/>
    </row>
    <row r="19" spans="1:21" x14ac:dyDescent="0.25">
      <c r="A19" s="6" t="s">
        <v>7</v>
      </c>
      <c r="B19" s="6">
        <v>2</v>
      </c>
      <c r="C19" s="6" t="s">
        <v>11</v>
      </c>
      <c r="D19" s="6">
        <v>6</v>
      </c>
      <c r="E19" s="6">
        <v>702</v>
      </c>
      <c r="F19" s="18">
        <f t="shared" si="0"/>
        <v>621.96159999999998</v>
      </c>
      <c r="G19" s="13">
        <v>0</v>
      </c>
      <c r="I19" s="11"/>
      <c r="J19" s="14" t="s">
        <v>16</v>
      </c>
      <c r="K19" s="16" t="s">
        <v>9</v>
      </c>
      <c r="L19" s="6">
        <v>4</v>
      </c>
      <c r="M19" s="6" t="s">
        <v>62</v>
      </c>
      <c r="N19" s="6">
        <v>7</v>
      </c>
      <c r="O19" s="6">
        <v>1000</v>
      </c>
      <c r="P19" s="18">
        <f t="shared" si="2"/>
        <v>1340</v>
      </c>
      <c r="Q19" s="13">
        <v>0</v>
      </c>
      <c r="S19" s="7" t="s">
        <v>22</v>
      </c>
      <c r="T19" s="7" t="s">
        <v>26</v>
      </c>
      <c r="U19" s="7" t="s">
        <v>27</v>
      </c>
    </row>
    <row r="20" spans="1:21" x14ac:dyDescent="0.25">
      <c r="A20" s="3" t="s">
        <v>8</v>
      </c>
      <c r="B20" s="3">
        <v>3</v>
      </c>
      <c r="C20" s="3" t="s">
        <v>3</v>
      </c>
      <c r="D20" s="3">
        <v>1</v>
      </c>
      <c r="E20" s="3">
        <v>566</v>
      </c>
      <c r="F20" s="17">
        <f t="shared" si="0"/>
        <v>526.65279999999996</v>
      </c>
      <c r="G20" s="13">
        <v>0</v>
      </c>
      <c r="I20" s="11"/>
      <c r="J20" s="14" t="s">
        <v>16</v>
      </c>
      <c r="K20" s="16" t="s">
        <v>10</v>
      </c>
      <c r="L20" s="6">
        <v>5</v>
      </c>
      <c r="M20" s="6" t="s">
        <v>62</v>
      </c>
      <c r="N20" s="6">
        <v>7</v>
      </c>
      <c r="O20" s="6">
        <v>1000</v>
      </c>
      <c r="P20" s="18">
        <f t="shared" si="2"/>
        <v>1340</v>
      </c>
      <c r="Q20" s="13">
        <v>0</v>
      </c>
      <c r="S20" s="10">
        <v>1</v>
      </c>
      <c r="T20" s="20">
        <f>SUM($G$10:$G$14)+SUMIF($D$15:$D$39,S20,$G$15:$G$39)</f>
        <v>1</v>
      </c>
      <c r="U20" s="23">
        <v>1</v>
      </c>
    </row>
    <row r="21" spans="1:21" x14ac:dyDescent="0.25">
      <c r="A21" s="3" t="s">
        <v>8</v>
      </c>
      <c r="B21" s="3">
        <v>3</v>
      </c>
      <c r="C21" s="3" t="s">
        <v>7</v>
      </c>
      <c r="D21" s="3">
        <v>2</v>
      </c>
      <c r="E21" s="3">
        <v>238</v>
      </c>
      <c r="F21" s="17">
        <f t="shared" si="0"/>
        <v>296.79039999999998</v>
      </c>
      <c r="G21" s="13">
        <v>0</v>
      </c>
      <c r="I21" s="11"/>
      <c r="J21" s="14" t="s">
        <v>16</v>
      </c>
      <c r="K21" s="16" t="s">
        <v>11</v>
      </c>
      <c r="L21" s="6">
        <v>6</v>
      </c>
      <c r="M21" s="6" t="s">
        <v>62</v>
      </c>
      <c r="N21" s="6">
        <v>7</v>
      </c>
      <c r="O21" s="6">
        <v>1000</v>
      </c>
      <c r="P21" s="18">
        <f t="shared" si="2"/>
        <v>1340</v>
      </c>
      <c r="Q21" s="13">
        <v>0</v>
      </c>
      <c r="S21" s="10">
        <v>2</v>
      </c>
      <c r="T21" s="20">
        <f>SUM($G$15:$G$19)+SUMIF($D$10:$D$14,S21,$G$10:$G$14)+SUMIF($D$20:$D$39,S21,$G$20:$G$39)</f>
        <v>0</v>
      </c>
      <c r="U21" s="23">
        <v>1</v>
      </c>
    </row>
    <row r="22" spans="1:21" x14ac:dyDescent="0.25">
      <c r="A22" s="3" t="s">
        <v>8</v>
      </c>
      <c r="B22" s="3">
        <v>3</v>
      </c>
      <c r="C22" s="3" t="s">
        <v>9</v>
      </c>
      <c r="D22" s="3">
        <v>4</v>
      </c>
      <c r="E22" s="3">
        <v>363</v>
      </c>
      <c r="F22" s="17">
        <f t="shared" si="0"/>
        <v>384.3904</v>
      </c>
      <c r="G22" s="13">
        <v>0</v>
      </c>
      <c r="I22" s="7" t="s">
        <v>15</v>
      </c>
      <c r="J22" s="14" t="s">
        <v>17</v>
      </c>
      <c r="K22" s="15" t="s">
        <v>3</v>
      </c>
      <c r="L22" s="3">
        <v>1</v>
      </c>
      <c r="M22" s="3" t="s">
        <v>62</v>
      </c>
      <c r="N22" s="3">
        <v>7</v>
      </c>
      <c r="O22" s="4">
        <v>1000</v>
      </c>
      <c r="P22" s="17">
        <f t="shared" ref="P22:P27" si="3">300+O22*(GasIndex*0.2)</f>
        <v>780</v>
      </c>
      <c r="Q22" s="13">
        <v>0</v>
      </c>
      <c r="S22" s="10">
        <v>3</v>
      </c>
      <c r="T22" s="20">
        <f>SUM($G$20:$G$24)+SUMIF($D$10:$D$19,S22,$G$10:$G$19)+SUMIF($D$25:$D$39,S22,$G$25:$G$39)</f>
        <v>0</v>
      </c>
      <c r="U22" s="23">
        <v>1</v>
      </c>
    </row>
    <row r="23" spans="1:21" x14ac:dyDescent="0.25">
      <c r="A23" s="3" t="s">
        <v>8</v>
      </c>
      <c r="B23" s="3">
        <v>3</v>
      </c>
      <c r="C23" s="3" t="s">
        <v>10</v>
      </c>
      <c r="D23" s="3">
        <v>5</v>
      </c>
      <c r="E23" s="3">
        <v>327</v>
      </c>
      <c r="F23" s="17">
        <f t="shared" si="0"/>
        <v>359.16159999999996</v>
      </c>
      <c r="G23" s="13">
        <v>0</v>
      </c>
      <c r="I23" s="11"/>
      <c r="J23" s="14" t="s">
        <v>17</v>
      </c>
      <c r="K23" s="15" t="s">
        <v>7</v>
      </c>
      <c r="L23" s="3">
        <v>2</v>
      </c>
      <c r="M23" s="3" t="s">
        <v>62</v>
      </c>
      <c r="N23" s="3">
        <v>7</v>
      </c>
      <c r="O23" s="3">
        <v>1000</v>
      </c>
      <c r="P23" s="17">
        <f t="shared" si="3"/>
        <v>780</v>
      </c>
      <c r="Q23" s="13">
        <v>0</v>
      </c>
      <c r="S23" s="10">
        <v>4</v>
      </c>
      <c r="T23" s="20">
        <f>SUM($G$25:$G$29)+SUMIF($D$10:$D$24,S23,$G$10:$G$24)+SUMIF($D$30:$D$39,S23,$G$30:$G$39)</f>
        <v>1</v>
      </c>
      <c r="U23" s="23">
        <v>1</v>
      </c>
    </row>
    <row r="24" spans="1:21" x14ac:dyDescent="0.25">
      <c r="A24" s="3" t="s">
        <v>8</v>
      </c>
      <c r="B24" s="3">
        <v>3</v>
      </c>
      <c r="C24" s="3" t="s">
        <v>11</v>
      </c>
      <c r="D24" s="3">
        <v>6</v>
      </c>
      <c r="E24" s="3">
        <v>885</v>
      </c>
      <c r="F24" s="17">
        <f t="shared" si="0"/>
        <v>750.20799999999997</v>
      </c>
      <c r="G24" s="13">
        <v>0</v>
      </c>
      <c r="I24" s="11"/>
      <c r="J24" s="14" t="s">
        <v>17</v>
      </c>
      <c r="K24" s="15" t="s">
        <v>8</v>
      </c>
      <c r="L24" s="3">
        <v>3</v>
      </c>
      <c r="M24" s="3" t="s">
        <v>62</v>
      </c>
      <c r="N24" s="3">
        <v>7</v>
      </c>
      <c r="O24" s="3">
        <v>1000</v>
      </c>
      <c r="P24" s="17">
        <f t="shared" si="3"/>
        <v>780</v>
      </c>
      <c r="Q24" s="13">
        <v>0</v>
      </c>
      <c r="S24" s="10">
        <v>5</v>
      </c>
      <c r="T24" s="20">
        <f>SUM($G$30:$G$34)+SUMIF($D$10:$D$29,S24,$G$10:$G$29)+SUMIF($D$35:$D$39,S24,$G$35:$G$39)</f>
        <v>0</v>
      </c>
      <c r="U24" s="23">
        <v>1</v>
      </c>
    </row>
    <row r="25" spans="1:21" x14ac:dyDescent="0.25">
      <c r="A25" s="6" t="s">
        <v>9</v>
      </c>
      <c r="B25" s="6">
        <v>4</v>
      </c>
      <c r="C25" s="6" t="s">
        <v>3</v>
      </c>
      <c r="D25" s="6">
        <v>1</v>
      </c>
      <c r="E25" s="6">
        <v>873</v>
      </c>
      <c r="F25" s="18">
        <f t="shared" si="0"/>
        <v>741.7983999999999</v>
      </c>
      <c r="G25" s="13">
        <v>0</v>
      </c>
      <c r="I25" s="11"/>
      <c r="J25" s="14" t="s">
        <v>17</v>
      </c>
      <c r="K25" s="15" t="s">
        <v>9</v>
      </c>
      <c r="L25" s="3">
        <v>4</v>
      </c>
      <c r="M25" s="3" t="s">
        <v>62</v>
      </c>
      <c r="N25" s="3">
        <v>7</v>
      </c>
      <c r="O25" s="3">
        <v>1000</v>
      </c>
      <c r="P25" s="17">
        <f t="shared" si="3"/>
        <v>780</v>
      </c>
      <c r="Q25" s="13">
        <v>0</v>
      </c>
      <c r="S25" s="10">
        <v>6</v>
      </c>
      <c r="T25" s="20">
        <f>SUM($G$35:$G$39)+SUMIF($D$10:$D34,S25,$G$10:$G$34)</f>
        <v>0</v>
      </c>
      <c r="U25" s="23">
        <v>1</v>
      </c>
    </row>
    <row r="26" spans="1:21" x14ac:dyDescent="0.25">
      <c r="A26" s="6" t="s">
        <v>9</v>
      </c>
      <c r="B26" s="6">
        <v>4</v>
      </c>
      <c r="C26" s="6" t="s">
        <v>7</v>
      </c>
      <c r="D26" s="6">
        <v>2</v>
      </c>
      <c r="E26" s="6">
        <v>192</v>
      </c>
      <c r="F26" s="18">
        <f t="shared" si="0"/>
        <v>264.55359999999996</v>
      </c>
      <c r="G26" s="13">
        <v>0</v>
      </c>
      <c r="I26" s="11"/>
      <c r="J26" s="14" t="s">
        <v>17</v>
      </c>
      <c r="K26" s="15" t="s">
        <v>10</v>
      </c>
      <c r="L26" s="3">
        <v>5</v>
      </c>
      <c r="M26" s="3" t="s">
        <v>62</v>
      </c>
      <c r="N26" s="3">
        <v>7</v>
      </c>
      <c r="O26" s="3">
        <v>1000</v>
      </c>
      <c r="P26" s="17">
        <f t="shared" si="3"/>
        <v>780</v>
      </c>
      <c r="Q26" s="13">
        <v>0</v>
      </c>
      <c r="S26" s="14">
        <v>7</v>
      </c>
      <c r="T26" s="5">
        <f>SUM(Q10:Q33)</f>
        <v>1</v>
      </c>
      <c r="U26" s="24">
        <v>1</v>
      </c>
    </row>
    <row r="27" spans="1:21" x14ac:dyDescent="0.25">
      <c r="A27" s="6" t="s">
        <v>9</v>
      </c>
      <c r="B27" s="6">
        <v>4</v>
      </c>
      <c r="C27" s="6" t="s">
        <v>8</v>
      </c>
      <c r="D27" s="6">
        <v>3</v>
      </c>
      <c r="E27" s="6">
        <v>363</v>
      </c>
      <c r="F27" s="18">
        <f t="shared" si="0"/>
        <v>384.3904</v>
      </c>
      <c r="G27" s="13">
        <v>0</v>
      </c>
      <c r="I27" s="11"/>
      <c r="J27" s="14" t="s">
        <v>17</v>
      </c>
      <c r="K27" s="15" t="s">
        <v>11</v>
      </c>
      <c r="L27" s="3">
        <v>6</v>
      </c>
      <c r="M27" s="3" t="s">
        <v>62</v>
      </c>
      <c r="N27" s="3">
        <v>7</v>
      </c>
      <c r="O27" s="3">
        <v>1000</v>
      </c>
      <c r="P27" s="17">
        <f t="shared" si="3"/>
        <v>780</v>
      </c>
      <c r="Q27" s="13">
        <v>0</v>
      </c>
    </row>
    <row r="28" spans="1:21" x14ac:dyDescent="0.25">
      <c r="A28" s="6" t="s">
        <v>9</v>
      </c>
      <c r="B28" s="6">
        <v>4</v>
      </c>
      <c r="C28" s="6" t="s">
        <v>10</v>
      </c>
      <c r="D28" s="6">
        <v>5</v>
      </c>
      <c r="E28" s="6">
        <v>637</v>
      </c>
      <c r="F28" s="18">
        <f t="shared" si="0"/>
        <v>576.40959999999995</v>
      </c>
      <c r="G28" s="13">
        <v>0</v>
      </c>
      <c r="I28" s="7" t="s">
        <v>15</v>
      </c>
      <c r="J28" s="14" t="s">
        <v>18</v>
      </c>
      <c r="K28" s="16" t="s">
        <v>3</v>
      </c>
      <c r="L28" s="6">
        <v>1</v>
      </c>
      <c r="M28" s="6" t="s">
        <v>62</v>
      </c>
      <c r="N28" s="6">
        <v>7</v>
      </c>
      <c r="O28" s="6">
        <v>1000</v>
      </c>
      <c r="P28" s="18">
        <f t="shared" ref="P28:P33" si="4">100+O28*1.1</f>
        <v>1200</v>
      </c>
      <c r="Q28" s="13">
        <v>0</v>
      </c>
      <c r="S28" s="35" t="s">
        <v>28</v>
      </c>
      <c r="T28" s="35"/>
      <c r="U28" s="35"/>
    </row>
    <row r="29" spans="1:21" x14ac:dyDescent="0.25">
      <c r="A29" s="6" t="s">
        <v>9</v>
      </c>
      <c r="B29" s="6">
        <v>4</v>
      </c>
      <c r="C29" s="6" t="s">
        <v>11</v>
      </c>
      <c r="D29" s="6">
        <v>6</v>
      </c>
      <c r="E29" s="6">
        <v>790</v>
      </c>
      <c r="F29" s="18">
        <f t="shared" si="0"/>
        <v>683.63199999999995</v>
      </c>
      <c r="G29" s="13">
        <v>0</v>
      </c>
      <c r="I29" s="11"/>
      <c r="J29" s="14" t="s">
        <v>18</v>
      </c>
      <c r="K29" s="16" t="s">
        <v>7</v>
      </c>
      <c r="L29" s="6">
        <v>2</v>
      </c>
      <c r="M29" s="6" t="s">
        <v>62</v>
      </c>
      <c r="N29" s="6">
        <v>7</v>
      </c>
      <c r="O29" s="6">
        <v>1000</v>
      </c>
      <c r="P29" s="18">
        <f t="shared" si="4"/>
        <v>1200</v>
      </c>
      <c r="Q29" s="13">
        <v>0</v>
      </c>
      <c r="S29" s="35" t="s">
        <v>29</v>
      </c>
      <c r="T29" s="35"/>
      <c r="U29" s="21">
        <f>SUMPRODUCT(IRTrucks,IRCost)</f>
        <v>741.7983999999999</v>
      </c>
    </row>
    <row r="30" spans="1:21" x14ac:dyDescent="0.25">
      <c r="A30" s="3" t="s">
        <v>10</v>
      </c>
      <c r="B30" s="3">
        <v>5</v>
      </c>
      <c r="C30" s="3" t="s">
        <v>3</v>
      </c>
      <c r="D30" s="3">
        <v>1</v>
      </c>
      <c r="E30" s="3">
        <v>245</v>
      </c>
      <c r="F30" s="17">
        <f t="shared" si="0"/>
        <v>301.69600000000003</v>
      </c>
      <c r="G30" s="13">
        <v>0</v>
      </c>
      <c r="I30" s="11"/>
      <c r="J30" s="14" t="s">
        <v>18</v>
      </c>
      <c r="K30" s="16" t="s">
        <v>8</v>
      </c>
      <c r="L30" s="6">
        <v>3</v>
      </c>
      <c r="M30" s="6" t="s">
        <v>62</v>
      </c>
      <c r="N30" s="6">
        <v>7</v>
      </c>
      <c r="O30" s="6">
        <v>1000</v>
      </c>
      <c r="P30" s="18">
        <f t="shared" si="4"/>
        <v>1200</v>
      </c>
      <c r="Q30" s="13">
        <v>0</v>
      </c>
      <c r="S30" s="35" t="s">
        <v>30</v>
      </c>
      <c r="T30" s="35"/>
      <c r="U30" s="21">
        <f>SUMPRODUCT(Q10:Q33,P10:P33)</f>
        <v>1200</v>
      </c>
    </row>
    <row r="31" spans="1:21" x14ac:dyDescent="0.25">
      <c r="A31" s="3" t="s">
        <v>10</v>
      </c>
      <c r="B31" s="3">
        <v>5</v>
      </c>
      <c r="C31" s="3" t="s">
        <v>7</v>
      </c>
      <c r="D31" s="3">
        <v>2</v>
      </c>
      <c r="E31" s="3">
        <v>444</v>
      </c>
      <c r="F31" s="17">
        <f t="shared" si="0"/>
        <v>441.15519999999998</v>
      </c>
      <c r="G31" s="13">
        <v>0</v>
      </c>
      <c r="I31" s="11"/>
      <c r="J31" s="14" t="s">
        <v>18</v>
      </c>
      <c r="K31" s="16" t="s">
        <v>9</v>
      </c>
      <c r="L31" s="6">
        <v>4</v>
      </c>
      <c r="M31" s="6" t="s">
        <v>62</v>
      </c>
      <c r="N31" s="6">
        <v>7</v>
      </c>
      <c r="O31" s="6">
        <v>1000</v>
      </c>
      <c r="P31" s="18">
        <f t="shared" si="4"/>
        <v>1200</v>
      </c>
      <c r="Q31" s="13">
        <v>1</v>
      </c>
      <c r="S31" s="35" t="s">
        <v>31</v>
      </c>
      <c r="T31" s="35"/>
      <c r="U31" s="21">
        <f>SUM(U30,U29)</f>
        <v>1941.7983999999999</v>
      </c>
    </row>
    <row r="32" spans="1:21" x14ac:dyDescent="0.25">
      <c r="A32" s="3" t="s">
        <v>10</v>
      </c>
      <c r="B32" s="3">
        <v>5</v>
      </c>
      <c r="C32" s="3" t="s">
        <v>8</v>
      </c>
      <c r="D32" s="3">
        <v>3</v>
      </c>
      <c r="E32" s="3">
        <v>327</v>
      </c>
      <c r="F32" s="17">
        <f t="shared" si="0"/>
        <v>359.16159999999996</v>
      </c>
      <c r="G32" s="13">
        <v>0</v>
      </c>
      <c r="I32" s="11"/>
      <c r="J32" s="14" t="s">
        <v>18</v>
      </c>
      <c r="K32" s="16" t="s">
        <v>10</v>
      </c>
      <c r="L32" s="6">
        <v>5</v>
      </c>
      <c r="M32" s="6" t="s">
        <v>62</v>
      </c>
      <c r="N32" s="6">
        <v>7</v>
      </c>
      <c r="O32" s="6">
        <v>1000</v>
      </c>
      <c r="P32" s="18">
        <f t="shared" si="4"/>
        <v>1200</v>
      </c>
      <c r="Q32" s="13">
        <v>0</v>
      </c>
    </row>
    <row r="33" spans="1:17" x14ac:dyDescent="0.25">
      <c r="A33" s="3" t="s">
        <v>10</v>
      </c>
      <c r="B33" s="3">
        <v>5</v>
      </c>
      <c r="C33" s="3" t="s">
        <v>9</v>
      </c>
      <c r="D33" s="3">
        <v>4</v>
      </c>
      <c r="E33" s="3">
        <v>637</v>
      </c>
      <c r="F33" s="17">
        <f t="shared" si="0"/>
        <v>576.40959999999995</v>
      </c>
      <c r="G33" s="13">
        <v>0</v>
      </c>
      <c r="I33" s="12"/>
      <c r="J33" s="14" t="s">
        <v>18</v>
      </c>
      <c r="K33" s="16" t="s">
        <v>11</v>
      </c>
      <c r="L33" s="6">
        <v>6</v>
      </c>
      <c r="M33" s="6" t="s">
        <v>62</v>
      </c>
      <c r="N33" s="6">
        <v>7</v>
      </c>
      <c r="O33" s="6">
        <v>1000</v>
      </c>
      <c r="P33" s="18">
        <f t="shared" si="4"/>
        <v>1200</v>
      </c>
      <c r="Q33" s="13">
        <v>0</v>
      </c>
    </row>
    <row r="34" spans="1:17" x14ac:dyDescent="0.25">
      <c r="A34" s="3" t="s">
        <v>10</v>
      </c>
      <c r="B34" s="3">
        <v>5</v>
      </c>
      <c r="C34" s="3" t="s">
        <v>11</v>
      </c>
      <c r="D34" s="3">
        <v>6</v>
      </c>
      <c r="E34" s="3">
        <v>757</v>
      </c>
      <c r="F34" s="17">
        <f t="shared" si="0"/>
        <v>660.50559999999996</v>
      </c>
      <c r="G34" s="13">
        <v>0</v>
      </c>
    </row>
    <row r="35" spans="1:17" x14ac:dyDescent="0.25">
      <c r="A35" s="6" t="s">
        <v>11</v>
      </c>
      <c r="B35" s="6">
        <v>6</v>
      </c>
      <c r="C35" s="6" t="s">
        <v>3</v>
      </c>
      <c r="D35" s="6">
        <v>1</v>
      </c>
      <c r="E35" s="6">
        <v>717</v>
      </c>
      <c r="F35" s="18">
        <f t="shared" si="0"/>
        <v>632.47360000000003</v>
      </c>
      <c r="G35" s="13">
        <v>0</v>
      </c>
    </row>
    <row r="36" spans="1:17" x14ac:dyDescent="0.25">
      <c r="A36" s="6" t="s">
        <v>11</v>
      </c>
      <c r="B36" s="6">
        <v>6</v>
      </c>
      <c r="C36" s="6" t="s">
        <v>7</v>
      </c>
      <c r="D36" s="6">
        <v>2</v>
      </c>
      <c r="E36" s="6">
        <v>702</v>
      </c>
      <c r="F36" s="18">
        <f t="shared" si="0"/>
        <v>621.96159999999998</v>
      </c>
      <c r="G36" s="13">
        <v>0</v>
      </c>
    </row>
    <row r="37" spans="1:17" x14ac:dyDescent="0.25">
      <c r="A37" s="6" t="s">
        <v>11</v>
      </c>
      <c r="B37" s="6">
        <v>6</v>
      </c>
      <c r="C37" s="6" t="s">
        <v>8</v>
      </c>
      <c r="D37" s="6">
        <v>3</v>
      </c>
      <c r="E37" s="6">
        <v>885</v>
      </c>
      <c r="F37" s="18">
        <f t="shared" si="0"/>
        <v>750.20799999999997</v>
      </c>
      <c r="G37" s="13">
        <v>0</v>
      </c>
    </row>
    <row r="38" spans="1:17" x14ac:dyDescent="0.25">
      <c r="A38" s="6" t="s">
        <v>11</v>
      </c>
      <c r="B38" s="6">
        <v>6</v>
      </c>
      <c r="C38" s="6" t="s">
        <v>9</v>
      </c>
      <c r="D38" s="6">
        <v>4</v>
      </c>
      <c r="E38" s="6">
        <v>790</v>
      </c>
      <c r="F38" s="18">
        <f t="shared" si="0"/>
        <v>683.63199999999995</v>
      </c>
      <c r="G38" s="13">
        <v>0</v>
      </c>
    </row>
    <row r="39" spans="1:17" x14ac:dyDescent="0.25">
      <c r="A39" s="6" t="s">
        <v>11</v>
      </c>
      <c r="B39" s="6">
        <v>6</v>
      </c>
      <c r="C39" s="6" t="s">
        <v>10</v>
      </c>
      <c r="D39" s="6">
        <v>5</v>
      </c>
      <c r="E39" s="6">
        <v>757</v>
      </c>
      <c r="F39" s="18">
        <f t="shared" si="0"/>
        <v>660.50559999999996</v>
      </c>
      <c r="G39" s="13">
        <v>0</v>
      </c>
    </row>
  </sheetData>
  <mergeCells count="8">
    <mergeCell ref="A8:G8"/>
    <mergeCell ref="I8:Q8"/>
    <mergeCell ref="S31:T31"/>
    <mergeCell ref="S18:U18"/>
    <mergeCell ref="S8:U8"/>
    <mergeCell ref="S28:U28"/>
    <mergeCell ref="S29:T29"/>
    <mergeCell ref="S30:T30"/>
  </mergeCells>
  <dataValidations count="1">
    <dataValidation type="whole" allowBlank="1" showInputMessage="1" showErrorMessage="1" sqref="U10:U16" xr:uid="{6D976332-E991-4FD9-9091-4C531E7E36DB}">
      <formula1>-1</formula1>
      <formula2>1</formula2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F74F3-C5C5-4796-B1BA-53493C42E522}">
  <sheetPr codeName="Sheet4"/>
  <dimension ref="A4:H16"/>
  <sheetViews>
    <sheetView workbookViewId="0">
      <selection activeCell="D23" sqref="D23"/>
    </sheetView>
  </sheetViews>
  <sheetFormatPr defaultRowHeight="15" x14ac:dyDescent="0.25"/>
  <cols>
    <col min="1" max="2" width="22.28515625" bestFit="1" customWidth="1"/>
    <col min="4" max="4" width="18" customWidth="1"/>
    <col min="5" max="5" width="10.7109375" bestFit="1" customWidth="1"/>
    <col min="6" max="6" width="10.5703125" bestFit="1" customWidth="1"/>
    <col min="8" max="8" width="12.85546875" customWidth="1"/>
  </cols>
  <sheetData>
    <row r="4" spans="1:8" x14ac:dyDescent="0.25">
      <c r="C4" t="s">
        <v>0</v>
      </c>
    </row>
    <row r="5" spans="1:8" x14ac:dyDescent="0.25">
      <c r="B5" t="s">
        <v>14</v>
      </c>
      <c r="C5" t="s">
        <v>3</v>
      </c>
      <c r="D5" t="s">
        <v>7</v>
      </c>
      <c r="E5" t="s">
        <v>8</v>
      </c>
      <c r="F5" t="s">
        <v>9</v>
      </c>
      <c r="G5" t="s">
        <v>10</v>
      </c>
      <c r="H5" t="s">
        <v>11</v>
      </c>
    </row>
    <row r="6" spans="1:8" x14ac:dyDescent="0.25">
      <c r="A6" t="s">
        <v>1</v>
      </c>
      <c r="B6" t="s">
        <v>3</v>
      </c>
      <c r="C6" s="26">
        <v>0</v>
      </c>
      <c r="D6" s="26">
        <f>'Formula Page'!G15</f>
        <v>0</v>
      </c>
      <c r="E6" s="26">
        <f>'Formula Page'!G20</f>
        <v>0</v>
      </c>
      <c r="F6" s="26">
        <f>'Formula Page'!G25</f>
        <v>0</v>
      </c>
      <c r="G6" s="26">
        <f>'Formula Page'!G30</f>
        <v>0</v>
      </c>
      <c r="H6" s="26">
        <f>'Formula Page'!G35</f>
        <v>0</v>
      </c>
    </row>
    <row r="7" spans="1:8" x14ac:dyDescent="0.25">
      <c r="B7" t="s">
        <v>7</v>
      </c>
      <c r="C7" s="26">
        <f>'Formula Page'!G10</f>
        <v>0</v>
      </c>
      <c r="D7" s="26">
        <v>0</v>
      </c>
      <c r="E7" s="26">
        <f>'Formula Page'!G21</f>
        <v>0</v>
      </c>
      <c r="F7" s="26">
        <f>'Formula Page'!G26</f>
        <v>0</v>
      </c>
      <c r="G7" s="26">
        <f>'Formula Page'!G31</f>
        <v>0</v>
      </c>
      <c r="H7" s="26">
        <f>'Formula Page'!G36</f>
        <v>0</v>
      </c>
    </row>
    <row r="8" spans="1:8" x14ac:dyDescent="0.25">
      <c r="B8" t="s">
        <v>8</v>
      </c>
      <c r="C8" s="26">
        <f>'Formula Page'!G11</f>
        <v>0</v>
      </c>
      <c r="D8" s="26">
        <f>'Formula Page'!G16</f>
        <v>0</v>
      </c>
      <c r="E8" s="26">
        <v>0</v>
      </c>
      <c r="F8" s="26">
        <f>'Formula Page'!G27</f>
        <v>0</v>
      </c>
      <c r="G8" s="26">
        <f>'Formula Page'!G32</f>
        <v>0</v>
      </c>
      <c r="H8" s="26">
        <f>'Formula Page'!G37</f>
        <v>0</v>
      </c>
    </row>
    <row r="9" spans="1:8" x14ac:dyDescent="0.25">
      <c r="B9" t="s">
        <v>9</v>
      </c>
      <c r="C9" s="26">
        <f>'Formula Page'!G12</f>
        <v>1</v>
      </c>
      <c r="D9" s="26">
        <f>'Formula Page'!G17</f>
        <v>0</v>
      </c>
      <c r="E9" s="26">
        <f>'Formula Page'!G22</f>
        <v>0</v>
      </c>
      <c r="F9" s="26">
        <v>0</v>
      </c>
      <c r="G9" s="26">
        <f>'Formula Page'!G33</f>
        <v>0</v>
      </c>
      <c r="H9" s="26">
        <f>'Formula Page'!G38</f>
        <v>0</v>
      </c>
    </row>
    <row r="10" spans="1:8" x14ac:dyDescent="0.25">
      <c r="B10" t="s">
        <v>10</v>
      </c>
      <c r="C10" s="26">
        <f>'Formula Page'!G13</f>
        <v>0</v>
      </c>
      <c r="D10" s="26">
        <f>'Formula Page'!G18</f>
        <v>0</v>
      </c>
      <c r="E10" s="26">
        <f>'Formula Page'!G23</f>
        <v>0</v>
      </c>
      <c r="F10" s="26">
        <f>'Formula Page'!G28</f>
        <v>0</v>
      </c>
      <c r="G10" s="26">
        <v>0</v>
      </c>
      <c r="H10" s="26">
        <f>'Formula Page'!G39</f>
        <v>0</v>
      </c>
    </row>
    <row r="11" spans="1:8" x14ac:dyDescent="0.25">
      <c r="B11" t="s">
        <v>11</v>
      </c>
      <c r="C11" s="26">
        <f>'Formula Page'!G14</f>
        <v>0</v>
      </c>
      <c r="D11" s="26">
        <f>'Formula Page'!G19</f>
        <v>0</v>
      </c>
      <c r="E11" s="26">
        <f>'Formula Page'!G24</f>
        <v>0</v>
      </c>
      <c r="F11" s="26">
        <f>'Formula Page'!G29</f>
        <v>0</v>
      </c>
      <c r="G11" s="26">
        <v>0</v>
      </c>
      <c r="H11" s="26">
        <v>0</v>
      </c>
    </row>
    <row r="12" spans="1:8" x14ac:dyDescent="0.25">
      <c r="B12" t="s">
        <v>5</v>
      </c>
      <c r="C12" s="32">
        <f>SUMPRODUCT('Formula Page'!$F$10:$F$14,'Formula Page'!$G$10:$G$14)</f>
        <v>741.7983999999999</v>
      </c>
      <c r="D12" s="32">
        <f>SUMPRODUCT('Formula Page'!$F$15:$F$19,'Formula Page'!$G$15:$G$19)</f>
        <v>0</v>
      </c>
      <c r="E12" s="32">
        <f>SUMPRODUCT('Formula Page'!$F$20:$F$24,'Formula Page'!$G$20:$G$24)</f>
        <v>0</v>
      </c>
      <c r="F12" s="32">
        <f>SUMPRODUCT('Formula Page'!$F$25:$F$29,'Formula Page'!$G$25:$G$29)</f>
        <v>0</v>
      </c>
      <c r="G12" s="32">
        <v>0</v>
      </c>
      <c r="H12" s="32">
        <f>SUMPRODUCT('Formula Page'!$F$35:$F$39,'Formula Page'!$G$35:$G$39)</f>
        <v>0</v>
      </c>
    </row>
    <row r="13" spans="1:8" x14ac:dyDescent="0.25">
      <c r="C13" s="27" t="s">
        <v>64</v>
      </c>
      <c r="D13" s="27" t="s">
        <v>57</v>
      </c>
      <c r="E13" t="s">
        <v>65</v>
      </c>
      <c r="F13" t="s">
        <v>5</v>
      </c>
      <c r="G13" s="27"/>
      <c r="H13" s="27"/>
    </row>
    <row r="14" spans="1:8" x14ac:dyDescent="0.25">
      <c r="A14" t="s">
        <v>56</v>
      </c>
      <c r="B14" t="str">
        <f>INDEX(FDCompany,MATCH(1,FDTrucks,0))</f>
        <v>SAIA</v>
      </c>
      <c r="C14" t="str">
        <f>INDEX(FDOName,MATCH(1,FDTrucks,0))</f>
        <v>New York City</v>
      </c>
      <c r="D14" s="29" t="str">
        <f>'Formula Page'!M10</f>
        <v>Yorktown</v>
      </c>
      <c r="E14" s="26">
        <f>SUMIF(FDDName,$D$14,FDTrucks)</f>
        <v>1</v>
      </c>
      <c r="F14" s="31">
        <f>'Formula Page'!$U$30</f>
        <v>1200</v>
      </c>
      <c r="G14" s="28"/>
      <c r="H14" t="s">
        <v>58</v>
      </c>
    </row>
    <row r="15" spans="1:8" x14ac:dyDescent="0.25">
      <c r="C15" s="30"/>
      <c r="D15" s="30"/>
      <c r="E15" s="30"/>
      <c r="F15" s="30"/>
      <c r="G15" s="29"/>
      <c r="H15" s="33">
        <f>OBJECTIVE</f>
        <v>1941.7983999999999</v>
      </c>
    </row>
    <row r="16" spans="1:8" x14ac:dyDescent="0.25">
      <c r="B16" t="s">
        <v>66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75888-9C83-4D3C-8B92-39735CBF4567}">
  <sheetPr codeName="Sheet5"/>
  <dimension ref="A1:D3"/>
  <sheetViews>
    <sheetView workbookViewId="0">
      <selection activeCell="F15" sqref="F15"/>
    </sheetView>
  </sheetViews>
  <sheetFormatPr defaultRowHeight="15" x14ac:dyDescent="0.25"/>
  <cols>
    <col min="1" max="1" width="12.140625" bestFit="1" customWidth="1"/>
    <col min="2" max="2" width="15.28515625" customWidth="1"/>
    <col min="3" max="3" width="18.42578125" bestFit="1" customWidth="1"/>
    <col min="4" max="4" width="16.85546875" customWidth="1"/>
  </cols>
  <sheetData>
    <row r="1" spans="1:4" x14ac:dyDescent="0.25">
      <c r="A1" s="39" t="s">
        <v>59</v>
      </c>
      <c r="B1" s="39"/>
      <c r="C1" s="39"/>
      <c r="D1" s="39"/>
    </row>
    <row r="3" spans="1:4" x14ac:dyDescent="0.25">
      <c r="A3" t="s">
        <v>60</v>
      </c>
      <c r="B3" t="s">
        <v>61</v>
      </c>
      <c r="C3" t="s">
        <v>63</v>
      </c>
      <c r="D3" t="s">
        <v>31</v>
      </c>
    </row>
  </sheetData>
  <mergeCells count="1">
    <mergeCell ref="A1:D1"/>
  </mergeCells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Welcome</vt:lpstr>
      <vt:lpstr>Hidden</vt:lpstr>
      <vt:lpstr>Formula Page</vt:lpstr>
      <vt:lpstr>Worker Info</vt:lpstr>
      <vt:lpstr>Delivery Analysis</vt:lpstr>
      <vt:lpstr>AntiLoopRHS</vt:lpstr>
      <vt:lpstr>AntiLoopSum</vt:lpstr>
      <vt:lpstr>DITableStart</vt:lpstr>
      <vt:lpstr>FDCompany</vt:lpstr>
      <vt:lpstr>FDCost</vt:lpstr>
      <vt:lpstr>FDDName</vt:lpstr>
      <vt:lpstr>FDDRoute</vt:lpstr>
      <vt:lpstr>FDMileage</vt:lpstr>
      <vt:lpstr>FDOName</vt:lpstr>
      <vt:lpstr>FDORoute</vt:lpstr>
      <vt:lpstr>FDStart</vt:lpstr>
      <vt:lpstr>FDTrucks</vt:lpstr>
      <vt:lpstr>GasIndex</vt:lpstr>
      <vt:lpstr>InternalRouting</vt:lpstr>
      <vt:lpstr>IRCost</vt:lpstr>
      <vt:lpstr>IRDestinationRoute</vt:lpstr>
      <vt:lpstr>IROriginRoute</vt:lpstr>
      <vt:lpstr>IRTrucks</vt:lpstr>
      <vt:lpstr>LogInInfo</vt:lpstr>
      <vt:lpstr>NetFlow</vt:lpstr>
      <vt:lpstr>OBJECTIVE</vt:lpstr>
      <vt:lpstr>SupplyDemand</vt:lpstr>
      <vt:lpstr>WCompany</vt:lpstr>
      <vt:lpstr>WDestination</vt:lpstr>
      <vt:lpstr>WFDelivery</vt:lpstr>
      <vt:lpstr>WOrigin</vt:lpstr>
      <vt:lpstr>WTable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Running Walker</dc:creator>
  <cp:lastModifiedBy>Running Walker</cp:lastModifiedBy>
  <dcterms:created xsi:type="dcterms:W3CDTF">2019-11-16T20:12:45Z</dcterms:created>
  <dcterms:modified xsi:type="dcterms:W3CDTF">2019-11-25T00:51:12Z</dcterms:modified>
</cp:coreProperties>
</file>